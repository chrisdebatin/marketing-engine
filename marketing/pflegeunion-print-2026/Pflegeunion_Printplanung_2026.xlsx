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Medien" sheetId="2" state="visible" r:id="rId2"/>
    <sheet name="Scoring" sheetId="3" state="visible" r:id="rId3"/>
    <sheet name="Budget" sheetId="4" state="visible" r:id="rId4"/>
    <sheet name="Schaltkalender" sheetId="5" state="visible" r:id="rId5"/>
    <sheet name="Outreach" sheetId="6" state="visible" r:id="rId6"/>
    <sheet name="Lead-Tracking" sheetId="7" state="visible" r:id="rId7"/>
    <sheet name="Annahmen &amp; Quell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€"/>
    <numFmt numFmtId="165" formatCode="yyyy-mm-dd"/>
    <numFmt numFmtId="166" formatCode="DD.MM.YYYY"/>
  </numFmts>
  <fonts count="17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color rgb="00000000"/>
      <sz val="10"/>
    </font>
    <font>
      <name val="Arial"/>
      <color rgb="00808080"/>
      <sz val="9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color rgb="00808080"/>
      <sz val="8"/>
    </font>
    <font>
      <name val="Arial"/>
      <color rgb="000563C1"/>
      <sz val="8"/>
    </font>
    <font>
      <name val="Arial"/>
      <color rgb="00C00000"/>
      <sz val="8"/>
    </font>
    <font>
      <name val="Arial"/>
      <color rgb="00000000"/>
      <sz val="8"/>
    </font>
    <font>
      <name val="Arial"/>
      <b val="1"/>
      <color rgb="000000FF"/>
      <sz val="10"/>
    </font>
    <font>
      <name val="Arial"/>
      <b val="1"/>
      <color rgb="001F4E79"/>
      <sz val="11"/>
    </font>
    <font>
      <name val="Arial"/>
      <b val="1"/>
      <color rgb="00C00000"/>
      <sz val="10"/>
    </font>
    <font>
      <name val="Arial"/>
      <color rgb="00000000"/>
      <sz val="9"/>
    </font>
    <font>
      <name val="Arial"/>
      <color rgb="00008000"/>
      <sz val="8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3" fontId="2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9" fillId="0" borderId="1" pivotButton="0" quotePrefix="0" xfId="0"/>
    <xf numFmtId="4" fontId="2" fillId="2" borderId="1" pivotButton="0" quotePrefix="0" xfId="0"/>
    <xf numFmtId="4" fontId="4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top" wrapText="1"/>
    </xf>
    <xf numFmtId="0" fontId="8" fillId="0" borderId="0" pivotButton="0" quotePrefix="0" xfId="0"/>
    <xf numFmtId="0" fontId="4" fillId="0" borderId="0" applyAlignment="1" pivotButton="0" quotePrefix="0" xfId="0">
      <alignment horizontal="right"/>
    </xf>
    <xf numFmtId="9" fontId="12" fillId="4" borderId="0" applyAlignment="1" pivotButton="0" quotePrefix="0" xfId="0">
      <alignment horizontal="center" vertical="center" wrapText="1"/>
    </xf>
    <xf numFmtId="9" fontId="11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2" fillId="5" borderId="1" pivotButton="0" quotePrefix="0" xfId="0"/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164" fontId="2" fillId="5" borderId="1" pivotButton="0" quotePrefix="0" xfId="0"/>
    <xf numFmtId="164" fontId="0" fillId="2" borderId="1" applyAlignment="1" pivotButton="0" quotePrefix="0" xfId="0">
      <alignment horizontal="center" vertical="center" wrapText="1"/>
    </xf>
    <xf numFmtId="164" fontId="4" fillId="0" borderId="1" pivotButton="0" quotePrefix="0" xfId="0"/>
    <xf numFmtId="0" fontId="11" fillId="0" borderId="1" pivotButton="0" quotePrefix="0" xfId="0"/>
    <xf numFmtId="0" fontId="13" fillId="0" borderId="0" pivotButton="0" quotePrefix="0" xfId="0"/>
    <xf numFmtId="0" fontId="4" fillId="0" borderId="1" pivotButton="0" quotePrefix="0" xfId="0"/>
    <xf numFmtId="164" fontId="5" fillId="0" borderId="1" pivotButton="0" quotePrefix="0" xfId="0"/>
    <xf numFmtId="164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166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vertical="top" wrapText="1"/>
    </xf>
    <xf numFmtId="166" fontId="0" fillId="2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164" fontId="2" fillId="5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164" fontId="0" fillId="2" borderId="1" pivotButton="0" quotePrefix="0" xfId="0"/>
    <xf numFmtId="164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4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1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Planung</author>
  </authors>
  <commentList>
    <comment ref="R2" authorId="0" shapeId="0">
      <text>
        <t>TKP (Tausend-Kontakt-Preis) = 1/4-Seite-4c-Preis / Auflage × 1000. Rechnet automatisch, sobald der 4c-Preis (Spalte Q, gelb) und die Auflage (Spalte H) gefüllt sind.</t>
      </text>
    </comment>
  </commentList>
</comments>
</file>

<file path=xl/comments/comment2.xml><?xml version="1.0" encoding="utf-8"?>
<comments xmlns="http://schemas.openxmlformats.org/spreadsheetml/2006/main">
  <authors>
    <author>Planung</author>
  </authors>
  <commentList>
    <comment ref="C4" authorId="0" shapeId="0">
      <text>
        <t>Gelbe Spalten (TKP-Score, Preis-Leistung) erst nach Angebot bewerten. Blaue Vorbewertungen (Zielgruppe 60+, Geo, Verhandlung) kannst du anpassen. 5 = beste, 1 = schlechteste.</t>
      </text>
    </comment>
  </commentList>
</comments>
</file>

<file path=xl/comments/comment3.xml><?xml version="1.0" encoding="utf-8"?>
<comments xmlns="http://schemas.openxmlformats.org/spreadsheetml/2006/main">
  <authors>
    <author>Planung</author>
  </authors>
  <commentList>
    <comment ref="H4" authorId="0" shapeId="0">
      <text>
        <t>Einzelpreis pro Schaltung aus dem Verlagsangebot eintragen (netto). Solange leer, Kosten=0. Ampel wird ÜBER/rot, wenn eine Monatssumme 3.500 € übersteigt.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Pflegeunion – Printplanung 2026</t>
        </is>
      </c>
    </row>
    <row r="2">
      <c r="A2" s="2" t="inlineStr">
        <is>
          <t>Media-Tracker · Neukundengewinnung (Pflege/Alltagshilfe/Tagespflege/Intensiv) · Budget 3.500 €/Monat · Aug–Dez 2026</t>
        </is>
      </c>
    </row>
    <row r="3">
      <c r="A3" s="3" t="inlineStr">
        <is>
          <t>Stand: 27.07.2026</t>
        </is>
      </c>
    </row>
    <row r="5">
      <c r="A5" s="2" t="inlineStr"/>
      <c r="B5" s="4" t="inlineStr"/>
    </row>
    <row r="6">
      <c r="A6" s="5" t="inlineStr">
        <is>
          <t>SO LIEST DU DIESE DATEI</t>
        </is>
      </c>
      <c r="B6" s="4" t="inlineStr"/>
    </row>
    <row r="7">
      <c r="A7" s="5" t="inlineStr">
        <is>
          <t>Tab</t>
        </is>
      </c>
      <c r="B7" s="4" t="inlineStr">
        <is>
          <t>Inhalt</t>
        </is>
      </c>
    </row>
    <row r="8">
      <c r="A8" s="2" t="inlineStr">
        <is>
          <t>Medien</t>
        </is>
      </c>
      <c r="B8" s="4" t="inlineStr">
        <is>
          <t>Alle recherchierten Printtitel je Standort + Auflage, Kontakt, Live-TKP.</t>
        </is>
      </c>
    </row>
    <row r="9">
      <c r="A9" s="2" t="inlineStr">
        <is>
          <t>Scoring</t>
        </is>
      </c>
      <c r="B9" s="4" t="inlineStr">
        <is>
          <t>Bewertung 1–5 je Titel, gewichteter Gesamtscore + Rangliste je Cluster.</t>
        </is>
      </c>
    </row>
    <row r="10">
      <c r="A10" s="2" t="inlineStr">
        <is>
          <t>Budget</t>
        </is>
      </c>
      <c r="B10" s="4" t="inlineStr">
        <is>
          <t>Monat × Standort × Titel × Format × Schaltungen × Kosten. Ampel gegen 3.500-€-Cap.</t>
        </is>
      </c>
    </row>
    <row r="11">
      <c r="A11" s="2" t="inlineStr">
        <is>
          <t>Schaltkalender</t>
        </is>
      </c>
      <c r="B11" s="4" t="inlineStr">
        <is>
          <t>Termine, Motive, Anzeigenschlüsse (Datum!), Status.</t>
        </is>
      </c>
    </row>
    <row r="12">
      <c r="A12" s="2" t="inlineStr">
        <is>
          <t>Outreach</t>
        </is>
      </c>
      <c r="B12" s="4" t="inlineStr">
        <is>
          <t>Verlags-/Mediaberater-Kontakte, Mailstatus, Angebot erhalten, Preis, Nachfassdatum.</t>
        </is>
      </c>
    </row>
    <row r="13">
      <c r="A13" s="2" t="inlineStr">
        <is>
          <t>Lead-Tracking</t>
        </is>
      </c>
      <c r="B13" s="4" t="inlineStr">
        <is>
          <t>Wöchentliche Zuordnung der Anfragen je Titel über Kennwort/Rufnummer + CPL.</t>
        </is>
      </c>
    </row>
    <row r="14">
      <c r="A14" s="2" t="inlineStr">
        <is>
          <t>Annahmen &amp; Quellen</t>
        </is>
      </c>
      <c r="B14" s="4" t="inlineStr">
        <is>
          <t>Jede Zahl mit Datum + Quell-Link.</t>
        </is>
      </c>
    </row>
    <row r="15">
      <c r="A15" s="2" t="inlineStr"/>
      <c r="B15" s="4" t="inlineStr"/>
    </row>
    <row r="16">
      <c r="A16" s="5" t="inlineStr">
        <is>
          <t>FARBLEGENDE (welche Zellen DU ausfüllst)</t>
        </is>
      </c>
      <c r="B16" s="4" t="inlineStr"/>
    </row>
    <row r="17">
      <c r="A17" s="6" t="inlineStr">
        <is>
          <t>Gelb</t>
        </is>
      </c>
      <c r="B17" s="4" t="inlineStr">
        <is>
          <t>EINGABE aus Verlagsangebot: Preise (mm/Format), sobald Mediaberater geantwortet hat.</t>
        </is>
      </c>
    </row>
    <row r="18">
      <c r="A18" s="7" t="inlineStr">
        <is>
          <t>Blau (Schrift)</t>
        </is>
      </c>
      <c r="B18" s="4" t="inlineStr">
        <is>
          <t>Annahme/Bewertung, die du anpassen kannst (z. B. Scoring-Punkte).</t>
        </is>
      </c>
    </row>
    <row r="19">
      <c r="A19" s="2" t="inlineStr">
        <is>
          <t>Schwarz</t>
        </is>
      </c>
      <c r="B19" s="4" t="inlineStr">
        <is>
          <t>Formel – nicht überschreiben (rechnet automatisch).</t>
        </is>
      </c>
    </row>
    <row r="20">
      <c r="A20" s="2" t="inlineStr"/>
      <c r="B20" s="4" t="inlineStr"/>
    </row>
    <row r="21">
      <c r="A21" s="5" t="inlineStr">
        <is>
          <t>WICHTIGER HINWEIS ZU PREISEN</t>
        </is>
      </c>
      <c r="B21" s="4" t="inlineStr"/>
    </row>
    <row r="22">
      <c r="A22" s="2" t="inlineStr"/>
      <c r="B22" s="4" t="inlineStr">
        <is>
          <t>Lokale Printpreise sind NICHT öffentlich; in dieser Recherche-Umgebung waren zudem alle</t>
        </is>
      </c>
    </row>
    <row r="23">
      <c r="A23" s="2" t="inlineStr"/>
      <c r="B23" s="4" t="inlineStr">
        <is>
          <t>Verlags-Mediadaten-PDFs gesperrt (HTTP 403). Preise wurden daher NICHT geschätzt, sondern</t>
        </is>
      </c>
    </row>
    <row r="24">
      <c r="A24" s="2" t="inlineStr"/>
      <c r="B24" s="4" t="inlineStr">
        <is>
          <t>als 'anzufragen' geführt. Sobald Angebote da sind (Phase 4/Outreach), die gelben Zellen</t>
        </is>
      </c>
    </row>
    <row r="25">
      <c r="A25" s="2" t="inlineStr"/>
      <c r="B25" s="4" t="inlineStr">
        <is>
          <t>füllen – TKP, Budget-Summen und Ampeln rechnen dann automatisch.</t>
        </is>
      </c>
    </row>
    <row r="26">
      <c r="A26" s="2" t="inlineStr"/>
      <c r="B26" s="4" t="inlineStr"/>
    </row>
    <row r="27">
      <c r="A27" s="5" t="inlineStr">
        <is>
          <t>BEISPIELZEILE</t>
        </is>
      </c>
      <c r="B27" s="4" t="inlineStr">
        <is>
          <t>Im Tab 'Budget' ist Zeile 2 ein ausgefülltes Beispiel (grau) als Formatvorlage.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6" customWidth="1" min="2" max="2"/>
    <col width="16" customWidth="1" min="3" max="3"/>
    <col width="30" customWidth="1" min="4" max="4"/>
    <col width="26" customWidth="1" min="5" max="5"/>
    <col width="16" customWidth="1" min="6" max="6"/>
    <col width="12" customWidth="1" min="7" max="7"/>
    <col width="11" customWidth="1" min="8" max="8"/>
    <col width="18" customWidth="1" min="9" max="9"/>
    <col width="22" customWidth="1" min="10" max="10"/>
    <col width="22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11" customWidth="1" min="19" max="19"/>
    <col width="8" customWidth="1" min="20" max="20"/>
    <col width="8" customWidth="1" min="21" max="21"/>
    <col width="30" customWidth="1" min="22" max="22"/>
    <col width="10" customWidth="1" min="23" max="23"/>
  </cols>
  <sheetData>
    <row r="1">
      <c r="A1" s="8" t="inlineStr">
        <is>
          <t>MEDIEN – alle recherchierten Printtitel (Preise = gelbe Eingabezellen, aus Verlagsangebot)</t>
        </is>
      </c>
    </row>
    <row r="2" ht="40" customHeight="1">
      <c r="A2" s="9" t="inlineStr">
        <is>
          <t>ID</t>
        </is>
      </c>
      <c r="B2" s="9" t="inlineStr">
        <is>
          <t>Cluster</t>
        </is>
      </c>
      <c r="C2" s="9" t="inlineStr">
        <is>
          <t>Standort(e)</t>
        </is>
      </c>
      <c r="D2" s="9" t="inlineStr">
        <is>
          <t>Titel</t>
        </is>
      </c>
      <c r="E2" s="9" t="inlineStr">
        <is>
          <t>Verlag/Gruppe</t>
        </is>
      </c>
      <c r="F2" s="9" t="inlineStr">
        <is>
          <t>Typ</t>
        </is>
      </c>
      <c r="G2" s="9" t="inlineStr">
        <is>
          <t>Erscheinung</t>
        </is>
      </c>
      <c r="H2" s="9" t="inlineStr">
        <is>
          <t>Auflage/
Verbreitung</t>
        </is>
      </c>
      <c r="I2" s="9" t="inlineStr">
        <is>
          <t>Auflage-Hinweis</t>
        </is>
      </c>
      <c r="J2" s="9" t="inlineStr">
        <is>
          <t>Deckung Einzugsgebiet</t>
        </is>
      </c>
      <c r="K2" s="9" t="inlineStr">
        <is>
          <t>Mediadaten-URL</t>
        </is>
      </c>
      <c r="L2" s="9" t="inlineStr">
        <is>
          <t>mm s/w
(€)</t>
        </is>
      </c>
      <c r="M2" s="9" t="inlineStr">
        <is>
          <t>mm 4c
(€)</t>
        </is>
      </c>
      <c r="N2" s="9" t="inlineStr">
        <is>
          <t>1/8 s/w
(€)</t>
        </is>
      </c>
      <c r="O2" s="9" t="inlineStr">
        <is>
          <t>1/8 4c
(€)</t>
        </is>
      </c>
      <c r="P2" s="9" t="inlineStr">
        <is>
          <t>1/4 s/w
(€)</t>
        </is>
      </c>
      <c r="Q2" s="9" t="inlineStr">
        <is>
          <t>1/4 4c
(€)</t>
        </is>
      </c>
      <c r="R2" s="9" t="inlineStr">
        <is>
          <t>TKP 1/4 4c
(€)</t>
        </is>
      </c>
      <c r="S2" s="9" t="inlineStr">
        <is>
          <t>Anzeigen-
schluss</t>
        </is>
      </c>
      <c r="T2" s="9" t="inlineStr">
        <is>
          <t>Adver-
torial</t>
        </is>
      </c>
      <c r="U2" s="9" t="inlineStr">
        <is>
          <t>Trauer-
umfeld</t>
        </is>
      </c>
      <c r="V2" s="9" t="inlineStr">
        <is>
          <t>Kontakt Mediaberatung</t>
        </is>
      </c>
      <c r="W2" s="9" t="inlineStr">
        <is>
          <t>Preis-
Status</t>
        </is>
      </c>
    </row>
    <row r="3">
      <c r="A3" s="10" t="n">
        <v>1</v>
      </c>
      <c r="B3" s="11" t="inlineStr">
        <is>
          <t>A</t>
        </is>
      </c>
      <c r="C3" s="12" t="inlineStr">
        <is>
          <t>Düsseldorf</t>
        </is>
      </c>
      <c r="D3" s="13" t="inlineStr">
        <is>
          <t>Rheinische Post (Lok. Düsseldorf)</t>
        </is>
      </c>
      <c r="E3" s="12" t="inlineStr">
        <is>
          <t>RP Mediengruppe</t>
        </is>
      </c>
      <c r="F3" s="10" t="inlineStr">
        <is>
          <t>Tageszeitung</t>
        </is>
      </c>
      <c r="G3" s="10" t="inlineStr">
        <is>
          <t>Mo–Sa</t>
        </is>
      </c>
      <c r="H3" s="14" t="n">
        <v>254991</v>
      </c>
      <c r="I3" s="15" t="inlineStr">
        <is>
          <t>Gesamtaufl. Q1/25; Stadt-Split n/a</t>
        </is>
      </c>
      <c r="J3" s="12" t="inlineStr">
        <is>
          <t>Rheinland inkl. Lokalteil DD</t>
        </is>
      </c>
      <c r="K3" s="16" t="inlineStr">
        <is>
          <t>rp-media.de</t>
        </is>
      </c>
      <c r="L3" s="17" t="n"/>
      <c r="M3" s="17" t="n"/>
      <c r="N3" s="17" t="n"/>
      <c r="O3" s="17" t="n"/>
      <c r="P3" s="17" t="n"/>
      <c r="Q3" s="17" t="n"/>
      <c r="R3" s="18">
        <f>IFERROR(Q3/H3*1000,"")</f>
        <v/>
      </c>
      <c r="S3" s="19" t="inlineStr">
        <is>
          <t>anzufragen</t>
        </is>
      </c>
      <c r="T3" s="11" t="inlineStr">
        <is>
          <t>?</t>
        </is>
      </c>
      <c r="U3" s="11" t="inlineStr">
        <is>
          <t>Ja</t>
        </is>
      </c>
      <c r="V3" s="20" t="inlineStr">
        <is>
          <t>RP Mediengruppe, Zülpicher Str. 10</t>
        </is>
      </c>
      <c r="W3" s="19" t="inlineStr">
        <is>
          <t>anzufragen</t>
        </is>
      </c>
    </row>
    <row r="4">
      <c r="A4" s="10" t="n">
        <v>2</v>
      </c>
      <c r="B4" s="11" t="inlineStr">
        <is>
          <t>A</t>
        </is>
      </c>
      <c r="C4" s="12" t="inlineStr">
        <is>
          <t>Düsseldorf</t>
        </is>
      </c>
      <c r="D4" s="13" t="inlineStr">
        <is>
          <t>Düsseldorfer Anzeiger</t>
        </is>
      </c>
      <c r="E4" s="12" t="inlineStr">
        <is>
          <t>Panorama Anzeigenbl. (RP+Girardet)</t>
        </is>
      </c>
      <c r="F4" s="10" t="inlineStr">
        <is>
          <t>Anzeigenblatt (gratis)</t>
        </is>
      </c>
      <c r="G4" s="10" t="inlineStr">
        <is>
          <t>wöchentl. Sa</t>
        </is>
      </c>
      <c r="H4" s="14" t="n">
        <v>250275</v>
      </c>
      <c r="I4" s="15" t="inlineStr">
        <is>
          <t>HH; report-medien.de</t>
        </is>
      </c>
      <c r="J4" s="12" t="inlineStr">
        <is>
          <t>Düsseldorf (Zentrum/Ost/Süd)</t>
        </is>
      </c>
      <c r="K4" s="16" t="inlineStr">
        <is>
          <t>report-medien.de</t>
        </is>
      </c>
      <c r="L4" s="17" t="n"/>
      <c r="M4" s="17" t="n"/>
      <c r="N4" s="17" t="n"/>
      <c r="O4" s="17" t="n"/>
      <c r="P4" s="17" t="n"/>
      <c r="Q4" s="17" t="n"/>
      <c r="R4" s="18">
        <f>IFERROR(Q4/H4*1000,"")</f>
        <v/>
      </c>
      <c r="S4" s="19" t="inlineStr">
        <is>
          <t>anzufragen</t>
        </is>
      </c>
      <c r="T4" s="11" t="inlineStr">
        <is>
          <t>?</t>
        </is>
      </c>
      <c r="U4" s="11" t="inlineStr">
        <is>
          <t>?</t>
        </is>
      </c>
      <c r="V4" s="20" t="inlineStr">
        <is>
          <t>report-medien.de, Zülpicher Str. 10</t>
        </is>
      </c>
      <c r="W4" s="19" t="inlineStr">
        <is>
          <t>anzufragen</t>
        </is>
      </c>
    </row>
    <row r="5">
      <c r="A5" s="10" t="n">
        <v>3</v>
      </c>
      <c r="B5" s="11" t="inlineStr">
        <is>
          <t>A</t>
        </is>
      </c>
      <c r="C5" s="12" t="inlineStr">
        <is>
          <t>Düsseldorf</t>
        </is>
      </c>
      <c r="D5" s="13" t="inlineStr">
        <is>
          <t>Westdeutsche Zeitung (WZ)</t>
        </is>
      </c>
      <c r="E5" s="12" t="inlineStr">
        <is>
          <t>WZ / Girardet (Score Media)</t>
        </is>
      </c>
      <c r="F5" s="10" t="inlineStr">
        <is>
          <t>Tageszeitung</t>
        </is>
      </c>
      <c r="G5" s="10" t="inlineStr">
        <is>
          <t>Mo–Sa</t>
        </is>
      </c>
      <c r="H5" s="14" t="n">
        <v>35087</v>
      </c>
      <c r="I5" s="15" t="inlineStr">
        <is>
          <t>Gesamt; Split n/a</t>
        </is>
      </c>
      <c r="J5" s="12" t="inlineStr">
        <is>
          <t>Wuppertal–DD–MG–Krefeld</t>
        </is>
      </c>
      <c r="K5" s="16" t="inlineStr">
        <is>
          <t>wz.de/preise-und-fristen</t>
        </is>
      </c>
      <c r="L5" s="17" t="n"/>
      <c r="M5" s="17" t="n"/>
      <c r="N5" s="17" t="n"/>
      <c r="O5" s="17" t="n"/>
      <c r="P5" s="17" t="n"/>
      <c r="Q5" s="17" t="n"/>
      <c r="R5" s="18">
        <f>IFERROR(Q5/H5*1000,"")</f>
        <v/>
      </c>
      <c r="S5" s="19" t="inlineStr">
        <is>
          <t>anzufragen</t>
        </is>
      </c>
      <c r="T5" s="11" t="inlineStr">
        <is>
          <t>?</t>
        </is>
      </c>
      <c r="U5" s="11" t="inlineStr">
        <is>
          <t>Ja</t>
        </is>
      </c>
      <c r="V5" s="20" t="inlineStr">
        <is>
          <t>Anzeigen 0202 717-1</t>
        </is>
      </c>
      <c r="W5" s="19" t="inlineStr">
        <is>
          <t>anzufragen</t>
        </is>
      </c>
    </row>
    <row r="6">
      <c r="A6" s="10" t="n">
        <v>4</v>
      </c>
      <c r="B6" s="11" t="inlineStr">
        <is>
          <t>A</t>
        </is>
      </c>
      <c r="C6" s="12" t="inlineStr">
        <is>
          <t>Düsseldorf</t>
        </is>
      </c>
      <c r="D6" s="13" t="inlineStr">
        <is>
          <t>Kirchenzeitung Erzbistum Köln</t>
        </is>
      </c>
      <c r="E6" s="12" t="inlineStr">
        <is>
          <t>J.P. Bachem Medien</t>
        </is>
      </c>
      <c r="F6" s="10" t="inlineStr">
        <is>
          <t>Kirchenzeitung</t>
        </is>
      </c>
      <c r="G6" s="10" t="inlineStr">
        <is>
          <t>wöchentl.</t>
        </is>
      </c>
      <c r="H6" s="14" t="n">
        <v>20000</v>
      </c>
      <c r="I6" s="15" t="inlineStr"/>
      <c r="J6" s="12" t="inlineStr">
        <is>
          <t>Erzbistum Köln (kirchennahe 60+)</t>
        </is>
      </c>
      <c r="K6" s="16" t="inlineStr">
        <is>
          <t>kirchenzeitung-koeln.de</t>
        </is>
      </c>
      <c r="L6" s="17" t="n"/>
      <c r="M6" s="17" t="n"/>
      <c r="N6" s="17" t="n"/>
      <c r="O6" s="17" t="n"/>
      <c r="P6" s="17" t="n"/>
      <c r="Q6" s="17" t="n"/>
      <c r="R6" s="18">
        <f>IFERROR(Q6/H6*1000,"")</f>
        <v/>
      </c>
      <c r="S6" s="19" t="inlineStr">
        <is>
          <t>anzufragen</t>
        </is>
      </c>
      <c r="T6" s="11" t="inlineStr">
        <is>
          <t>?</t>
        </is>
      </c>
      <c r="U6" s="11" t="inlineStr">
        <is>
          <t>Ja</t>
        </is>
      </c>
      <c r="V6" s="20" t="inlineStr">
        <is>
          <t>J.P. Bachem Medien</t>
        </is>
      </c>
      <c r="W6" s="19" t="inlineStr">
        <is>
          <t>anzufragen</t>
        </is>
      </c>
    </row>
    <row r="7">
      <c r="A7" s="10" t="n">
        <v>5</v>
      </c>
      <c r="B7" s="11" t="inlineStr">
        <is>
          <t>A</t>
        </is>
      </c>
      <c r="C7" s="12" t="inlineStr">
        <is>
          <t>Duisburg</t>
        </is>
      </c>
      <c r="D7" s="13" t="inlineStr">
        <is>
          <t>WAZ + NRZ (Lok. Duisburg)</t>
        </is>
      </c>
      <c r="E7" s="12" t="inlineStr">
        <is>
          <t>FUNKE Medien NRW</t>
        </is>
      </c>
      <c r="F7" s="10" t="inlineStr">
        <is>
          <t>Tageszeitung</t>
        </is>
      </c>
      <c r="G7" s="10" t="inlineStr">
        <is>
          <t>Mo–Sa</t>
        </is>
      </c>
      <c r="H7" s="14" t="n">
        <v>24844</v>
      </c>
      <c r="I7" s="15" t="inlineStr">
        <is>
          <t>WAZ+NRZ zus., IVW Q2/24</t>
        </is>
      </c>
      <c r="J7" s="12" t="inlineStr">
        <is>
          <t>Stadt Duisburg (Kernmedium)</t>
        </is>
      </c>
      <c r="K7" s="16" t="inlineStr">
        <is>
          <t>funkemediasalesnrw.de</t>
        </is>
      </c>
      <c r="L7" s="17" t="n"/>
      <c r="M7" s="17" t="n"/>
      <c r="N7" s="17" t="n"/>
      <c r="O7" s="17" t="n"/>
      <c r="P7" s="17" t="n"/>
      <c r="Q7" s="17" t="n"/>
      <c r="R7" s="18">
        <f>IFERROR(Q7/H7*1000,"")</f>
        <v/>
      </c>
      <c r="S7" s="19" t="inlineStr">
        <is>
          <t>anzufragen</t>
        </is>
      </c>
      <c r="T7" s="11" t="inlineStr">
        <is>
          <t>Ja</t>
        </is>
      </c>
      <c r="U7" s="11" t="inlineStr">
        <is>
          <t>Ja</t>
        </is>
      </c>
      <c r="V7" s="20" t="inlineStr">
        <is>
          <t>salesoffice@funkemedien.de · Britta Sippel · 0201/804-6999</t>
        </is>
      </c>
      <c r="W7" s="19" t="inlineStr">
        <is>
          <t>anzufragen</t>
        </is>
      </c>
    </row>
    <row r="8">
      <c r="A8" s="10" t="n">
        <v>6</v>
      </c>
      <c r="B8" s="11" t="inlineStr">
        <is>
          <t>A</t>
        </is>
      </c>
      <c r="C8" s="12" t="inlineStr">
        <is>
          <t>Duisburg</t>
        </is>
      </c>
      <c r="D8" s="13" t="inlineStr">
        <is>
          <t>Wochen-Anzeiger Duisburg</t>
        </is>
      </c>
      <c r="E8" s="12" t="inlineStr">
        <is>
          <t>FUNKE / WVW</t>
        </is>
      </c>
      <c r="F8" s="10" t="inlineStr">
        <is>
          <t>Anzeigenblatt (gratis)</t>
        </is>
      </c>
      <c r="G8" s="10" t="inlineStr">
        <is>
          <t>Mi + Sa</t>
        </is>
      </c>
      <c r="H8" s="14" t="n">
        <v>228100</v>
      </c>
      <c r="I8" s="15" t="inlineStr">
        <is>
          <t>je Ausg.; bis 215.070 HH</t>
        </is>
      </c>
      <c r="J8" s="12" t="inlineStr">
        <is>
          <t>Stadt Duisburg (Vollverteilung)</t>
        </is>
      </c>
      <c r="K8" s="16" t="inlineStr">
        <is>
          <t>wvw-anzeigenblaetter.de</t>
        </is>
      </c>
      <c r="L8" s="17" t="n"/>
      <c r="M8" s="17" t="n"/>
      <c r="N8" s="17" t="n"/>
      <c r="O8" s="17" t="n"/>
      <c r="P8" s="17" t="n"/>
      <c r="Q8" s="17" t="n"/>
      <c r="R8" s="18">
        <f>IFERROR(Q8/H8*1000,"")</f>
        <v/>
      </c>
      <c r="S8" s="19" t="inlineStr">
        <is>
          <t>anzufragen</t>
        </is>
      </c>
      <c r="T8" s="11" t="inlineStr">
        <is>
          <t>Ja</t>
        </is>
      </c>
      <c r="U8" s="11" t="inlineStr">
        <is>
          <t>?</t>
        </is>
      </c>
      <c r="V8" s="20" t="inlineStr">
        <is>
          <t>salesoffice@funkemedien.de · Britta Sippel</t>
        </is>
      </c>
      <c r="W8" s="19" t="inlineStr">
        <is>
          <t>anzufragen</t>
        </is>
      </c>
    </row>
    <row r="9">
      <c r="A9" s="10" t="n">
        <v>7</v>
      </c>
      <c r="B9" s="11" t="inlineStr">
        <is>
          <t>A</t>
        </is>
      </c>
      <c r="C9" s="12" t="inlineStr">
        <is>
          <t>Duisburg</t>
        </is>
      </c>
      <c r="D9" s="13" t="inlineStr">
        <is>
          <t>Extra-Tipp am Sonntag (Moers/DU-West)</t>
        </is>
      </c>
      <c r="E9" s="12" t="inlineStr">
        <is>
          <t>Verlagsges. Niederrhein / report</t>
        </is>
      </c>
      <c r="F9" s="10" t="inlineStr">
        <is>
          <t>Anzeigenblatt (gratis)</t>
        </is>
      </c>
      <c r="G9" s="10" t="inlineStr">
        <is>
          <t>So</t>
        </is>
      </c>
      <c r="H9" s="14" t="n">
        <v>137395</v>
      </c>
      <c r="I9" s="15" t="inlineStr">
        <is>
          <t>deckt nur DU-West</t>
        </is>
      </c>
      <c r="J9" s="12" t="inlineStr">
        <is>
          <t>Duisburg-West + Moers etc.</t>
        </is>
      </c>
      <c r="K9" s="16" t="inlineStr">
        <is>
          <t>report-medien.de</t>
        </is>
      </c>
      <c r="L9" s="17" t="n"/>
      <c r="M9" s="17" t="n"/>
      <c r="N9" s="17" t="n"/>
      <c r="O9" s="17" t="n"/>
      <c r="P9" s="17" t="n"/>
      <c r="Q9" s="17" t="n"/>
      <c r="R9" s="18">
        <f>IFERROR(Q9/H9*1000,"")</f>
        <v/>
      </c>
      <c r="S9" s="19" t="inlineStr">
        <is>
          <t>anzufragen</t>
        </is>
      </c>
      <c r="T9" s="11" t="inlineStr">
        <is>
          <t>?</t>
        </is>
      </c>
      <c r="U9" s="11" t="inlineStr">
        <is>
          <t>?</t>
        </is>
      </c>
      <c r="V9" s="20" t="inlineStr">
        <is>
          <t>report-medien.de</t>
        </is>
      </c>
      <c r="W9" s="19" t="inlineStr">
        <is>
          <t>anzufragen</t>
        </is>
      </c>
    </row>
    <row r="10">
      <c r="A10" s="10" t="n">
        <v>8</v>
      </c>
      <c r="B10" s="11" t="inlineStr">
        <is>
          <t>A</t>
        </is>
      </c>
      <c r="C10" s="12" t="inlineStr">
        <is>
          <t>Duisburg</t>
        </is>
      </c>
      <c r="D10" s="13" t="inlineStr">
        <is>
          <t>BENE (Magazin Bistum Essen)</t>
        </is>
      </c>
      <c r="E10" s="12" t="inlineStr">
        <is>
          <t>Bistum Essen / KONPRESS-Medien eG</t>
        </is>
      </c>
      <c r="F10" s="10" t="inlineStr">
        <is>
          <t>Kirchenmagazin</t>
        </is>
      </c>
      <c r="G10" s="10" t="inlineStr">
        <is>
          <t>5×/Jahr</t>
        </is>
      </c>
      <c r="H10" s="14" t="n">
        <v>505000</v>
      </c>
      <c r="I10" s="15" t="inlineStr">
        <is>
          <t>postal. an alle kath. HH</t>
        </is>
      </c>
      <c r="J10" s="12" t="inlineStr">
        <is>
          <t>Bistum Essen inkl. Duisburg</t>
        </is>
      </c>
      <c r="K10" s="16" t="inlineStr">
        <is>
          <t>bene-magazin.de</t>
        </is>
      </c>
      <c r="L10" s="17" t="n"/>
      <c r="M10" s="17" t="n"/>
      <c r="N10" s="17" t="n"/>
      <c r="O10" s="17" t="n"/>
      <c r="P10" s="17" t="n"/>
      <c r="Q10" s="17" t="n"/>
      <c r="R10" s="18">
        <f>IFERROR(Q10/H10*1000,"")</f>
        <v/>
      </c>
      <c r="S10" s="19" t="inlineStr">
        <is>
          <t>anzufragen</t>
        </is>
      </c>
      <c r="T10" s="11" t="inlineStr">
        <is>
          <t>?</t>
        </is>
      </c>
      <c r="U10" s="11" t="inlineStr">
        <is>
          <t>Nein</t>
        </is>
      </c>
      <c r="V10" s="20" t="inlineStr">
        <is>
          <t>KONPRESS-Medien eG</t>
        </is>
      </c>
      <c r="W10" s="19" t="inlineStr">
        <is>
          <t>anzufragen</t>
        </is>
      </c>
    </row>
    <row r="11">
      <c r="A11" s="10" t="n">
        <v>9</v>
      </c>
      <c r="B11" s="11" t="inlineStr">
        <is>
          <t>A</t>
        </is>
      </c>
      <c r="C11" s="12" t="inlineStr">
        <is>
          <t>Velbert</t>
        </is>
      </c>
      <c r="D11" s="13" t="inlineStr">
        <is>
          <t>WAZ (Lok. Velbert/Niederberg)</t>
        </is>
      </c>
      <c r="E11" s="12" t="inlineStr">
        <is>
          <t>FUNKE Medien NRW</t>
        </is>
      </c>
      <c r="F11" s="10" t="inlineStr">
        <is>
          <t>Tageszeitung</t>
        </is>
      </c>
      <c r="G11" s="10" t="inlineStr">
        <is>
          <t>Mo–Sa</t>
        </is>
      </c>
      <c r="H11" s="14" t="n"/>
      <c r="I11" s="15" t="inlineStr">
        <is>
          <t>Velbert-Split nicht öff.</t>
        </is>
      </c>
      <c r="J11" s="12" t="inlineStr">
        <is>
          <t>Velbert/Heiligenhaus/Wülfrath</t>
        </is>
      </c>
      <c r="K11" s="16" t="inlineStr">
        <is>
          <t>funkemediasalesnrw.de</t>
        </is>
      </c>
      <c r="L11" s="17" t="n"/>
      <c r="M11" s="17" t="n"/>
      <c r="N11" s="17" t="n"/>
      <c r="O11" s="17" t="n"/>
      <c r="P11" s="17" t="n"/>
      <c r="Q11" s="17" t="n"/>
      <c r="R11" s="18">
        <f>IFERROR(Q11/H11*1000,"")</f>
        <v/>
      </c>
      <c r="S11" s="19" t="inlineStr">
        <is>
          <t>anzufragen</t>
        </is>
      </c>
      <c r="T11" s="11" t="inlineStr">
        <is>
          <t>?</t>
        </is>
      </c>
      <c r="U11" s="11" t="inlineStr">
        <is>
          <t>Ja</t>
        </is>
      </c>
      <c r="V11" s="20" t="inlineStr">
        <is>
          <t>salesoffice@funkemedien.de · 0201/804-6999</t>
        </is>
      </c>
      <c r="W11" s="19" t="inlineStr">
        <is>
          <t>anzufragen</t>
        </is>
      </c>
    </row>
    <row r="12">
      <c r="A12" s="10" t="n">
        <v>10</v>
      </c>
      <c r="B12" s="11" t="inlineStr">
        <is>
          <t>A</t>
        </is>
      </c>
      <c r="C12" s="12" t="inlineStr">
        <is>
          <t>Velbert</t>
        </is>
      </c>
      <c r="D12" s="13" t="inlineStr">
        <is>
          <t>Stadtanzeiger Niederberg</t>
        </is>
      </c>
      <c r="E12" s="12" t="inlineStr">
        <is>
          <t>WVW Anzeigenbl. (FUNKE)</t>
        </is>
      </c>
      <c r="F12" s="10" t="inlineStr">
        <is>
          <t>Anzeigenblatt (gratis)</t>
        </is>
      </c>
      <c r="G12" s="10" t="inlineStr">
        <is>
          <t>wöchentl. Sa</t>
        </is>
      </c>
      <c r="H12" s="14" t="n">
        <v>46995</v>
      </c>
      <c r="I12" s="15" t="inlineStr">
        <is>
          <t>HH (Aggregator, zu best.)</t>
        </is>
      </c>
      <c r="J12" s="12" t="inlineStr">
        <is>
          <t>Velbert + Heiligenhaus</t>
        </is>
      </c>
      <c r="K12" s="16" t="inlineStr">
        <is>
          <t>wvw-anzeigenblaetter.de</t>
        </is>
      </c>
      <c r="L12" s="17" t="n"/>
      <c r="M12" s="17" t="n"/>
      <c r="N12" s="17" t="n"/>
      <c r="O12" s="17" t="n"/>
      <c r="P12" s="17" t="n"/>
      <c r="Q12" s="17" t="n"/>
      <c r="R12" s="18">
        <f>IFERROR(Q12/H12*1000,"")</f>
        <v/>
      </c>
      <c r="S12" s="19" t="inlineStr">
        <is>
          <t>anzufragen</t>
        </is>
      </c>
      <c r="T12" s="11" t="inlineStr">
        <is>
          <t>?</t>
        </is>
      </c>
      <c r="U12" s="11" t="inlineStr">
        <is>
          <t>?</t>
        </is>
      </c>
      <c r="V12" s="20" t="inlineStr">
        <is>
          <t>Britta Sippel · salesoffice@funkemedien.de</t>
        </is>
      </c>
      <c r="W12" s="19" t="inlineStr">
        <is>
          <t>anzufragen</t>
        </is>
      </c>
    </row>
    <row r="13">
      <c r="A13" s="10" t="n">
        <v>11</v>
      </c>
      <c r="B13" s="11" t="inlineStr">
        <is>
          <t>A</t>
        </is>
      </c>
      <c r="C13" s="12" t="inlineStr">
        <is>
          <t>Velbert</t>
        </is>
      </c>
      <c r="D13" s="13" t="inlineStr">
        <is>
          <t>Super Tipp</t>
        </is>
      </c>
      <c r="E13" s="12" t="inlineStr">
        <is>
          <t>Super Tipp Medien GmbH</t>
        </is>
      </c>
      <c r="F13" s="10" t="inlineStr">
        <is>
          <t>Anzeigenblatt (gratis)</t>
        </is>
      </c>
      <c r="G13" s="10" t="inlineStr">
        <is>
          <t>wöchentl.</t>
        </is>
      </c>
      <c r="H13" s="14" t="n"/>
      <c r="I13" s="15" t="inlineStr">
        <is>
          <t>Auflage nicht öff.</t>
        </is>
      </c>
      <c r="J13" s="12" t="inlineStr">
        <is>
          <t>Velbert/Wülfrath/Heiligenhaus/Kr. ME</t>
        </is>
      </c>
      <c r="K13" s="16" t="inlineStr">
        <is>
          <t>supertipp-online.de</t>
        </is>
      </c>
      <c r="L13" s="17" t="n"/>
      <c r="M13" s="17" t="n"/>
      <c r="N13" s="17" t="n"/>
      <c r="O13" s="17" t="n"/>
      <c r="P13" s="17" t="n"/>
      <c r="Q13" s="17" t="n"/>
      <c r="R13" s="18">
        <f>IFERROR(Q13/H13*1000,"")</f>
        <v/>
      </c>
      <c r="S13" s="19" t="inlineStr">
        <is>
          <t>anzufragen</t>
        </is>
      </c>
      <c r="T13" s="11" t="inlineStr">
        <is>
          <t>?</t>
        </is>
      </c>
      <c r="U13" s="11" t="inlineStr">
        <is>
          <t>?</t>
        </is>
      </c>
      <c r="V13" s="20" t="inlineStr">
        <is>
          <t>anzeigen@supertipp-online.de · 02051/28800</t>
        </is>
      </c>
      <c r="W13" s="19" t="inlineStr">
        <is>
          <t>anzufragen</t>
        </is>
      </c>
    </row>
    <row r="14">
      <c r="A14" s="10" t="n">
        <v>12</v>
      </c>
      <c r="B14" s="11" t="inlineStr">
        <is>
          <t>A</t>
        </is>
      </c>
      <c r="C14" s="12" t="inlineStr">
        <is>
          <t>Velbert</t>
        </is>
      </c>
      <c r="D14" s="13" t="inlineStr">
        <is>
          <t>Westdeutsche Zeitung (Velbert)</t>
        </is>
      </c>
      <c r="E14" s="12" t="inlineStr">
        <is>
          <t>WZ / Girardet</t>
        </is>
      </c>
      <c r="F14" s="10" t="inlineStr">
        <is>
          <t>Tageszeitung</t>
        </is>
      </c>
      <c r="G14" s="10" t="inlineStr">
        <is>
          <t>Mo–Sa</t>
        </is>
      </c>
      <c r="H14" s="14" t="n"/>
      <c r="I14" s="15" t="inlineStr">
        <is>
          <t>Split nicht öff.</t>
        </is>
      </c>
      <c r="J14" s="12" t="inlineStr">
        <is>
          <t>Velbert/Neviges/Wülfrath</t>
        </is>
      </c>
      <c r="K14" s="16" t="inlineStr">
        <is>
          <t>wz.de</t>
        </is>
      </c>
      <c r="L14" s="17" t="n"/>
      <c r="M14" s="17" t="n"/>
      <c r="N14" s="17" t="n"/>
      <c r="O14" s="17" t="n"/>
      <c r="P14" s="17" t="n"/>
      <c r="Q14" s="17" t="n"/>
      <c r="R14" s="18">
        <f>IFERROR(Q14/H14*1000,"")</f>
        <v/>
      </c>
      <c r="S14" s="19" t="inlineStr">
        <is>
          <t>anzufragen</t>
        </is>
      </c>
      <c r="T14" s="11" t="inlineStr">
        <is>
          <t>?</t>
        </is>
      </c>
      <c r="U14" s="11" t="inlineStr">
        <is>
          <t>Ja</t>
        </is>
      </c>
      <c r="V14" s="20" t="inlineStr">
        <is>
          <t>Score Media / wz.de</t>
        </is>
      </c>
      <c r="W14" s="19" t="inlineStr">
        <is>
          <t>anzufragen</t>
        </is>
      </c>
    </row>
    <row r="15">
      <c r="A15" s="10" t="n">
        <v>13</v>
      </c>
      <c r="B15" s="11" t="inlineStr">
        <is>
          <t>A</t>
        </is>
      </c>
      <c r="C15" s="12" t="inlineStr">
        <is>
          <t>Kerpen</t>
        </is>
      </c>
      <c r="D15" s="13" t="inlineStr">
        <is>
          <t>Werbepost (Kerpen/Nörvenich)</t>
        </is>
      </c>
      <c r="E15" s="12" t="inlineStr">
        <is>
          <t>Rheinische Anzeigenbl. (DuMont+Heinen)</t>
        </is>
      </c>
      <c r="F15" s="10" t="inlineStr">
        <is>
          <t>Anzeigenblatt (gratis)</t>
        </is>
      </c>
      <c r="G15" s="10" t="inlineStr">
        <is>
          <t>wöchentl. Sa</t>
        </is>
      </c>
      <c r="H15" s="14" t="n">
        <v>29341</v>
      </c>
      <c r="I15" s="15" t="inlineStr">
        <is>
          <t>29.341 vs 32.771 widerspr.</t>
        </is>
      </c>
      <c r="J15" s="12" t="inlineStr">
        <is>
          <t>Rhein-Erft inkl. Kerpen</t>
        </is>
      </c>
      <c r="K15" s="16" t="inlineStr">
        <is>
          <t>rheinische-anzeigenblaetter.de</t>
        </is>
      </c>
      <c r="L15" s="17" t="n"/>
      <c r="M15" s="17" t="n"/>
      <c r="N15" s="17" t="n"/>
      <c r="O15" s="17" t="n"/>
      <c r="P15" s="17" t="n"/>
      <c r="Q15" s="17" t="n"/>
      <c r="R15" s="18">
        <f>IFERROR(Q15/H15*1000,"")</f>
        <v/>
      </c>
      <c r="S15" s="19" t="inlineStr">
        <is>
          <t>anzufragen</t>
        </is>
      </c>
      <c r="T15" s="11" t="inlineStr">
        <is>
          <t>?</t>
        </is>
      </c>
      <c r="U15" s="11" t="inlineStr">
        <is>
          <t>Ja</t>
        </is>
      </c>
      <c r="V15" s="20" t="inlineStr">
        <is>
          <t>anzeige@werbe-post.de · 02234/957 44 138</t>
        </is>
      </c>
      <c r="W15" s="19" t="inlineStr">
        <is>
          <t>anzufragen</t>
        </is>
      </c>
    </row>
    <row r="16">
      <c r="A16" s="10" t="n">
        <v>14</v>
      </c>
      <c r="B16" s="11" t="inlineStr">
        <is>
          <t>A</t>
        </is>
      </c>
      <c r="C16" s="12" t="inlineStr">
        <is>
          <t>Kerpen</t>
        </is>
      </c>
      <c r="D16" s="13" t="inlineStr">
        <is>
          <t>Sonntags-Post (Kerpen)</t>
        </is>
      </c>
      <c r="E16" s="12" t="inlineStr">
        <is>
          <t>SPO Verlag (Rhein. Anzeigenbl.)</t>
        </is>
      </c>
      <c r="F16" s="10" t="inlineStr">
        <is>
          <t>Anzeigenblatt (gratis)</t>
        </is>
      </c>
      <c r="G16" s="10" t="inlineStr">
        <is>
          <t>wöchentl. So</t>
        </is>
      </c>
      <c r="H16" s="14" t="n"/>
      <c r="I16" s="15" t="inlineStr">
        <is>
          <t>Auflage nicht gefunden</t>
        </is>
      </c>
      <c r="J16" s="12" t="inlineStr">
        <is>
          <t>Rhein-Erft inkl. Kerpen</t>
        </is>
      </c>
      <c r="K16" s="16" t="inlineStr">
        <is>
          <t>sonntags-post.de</t>
        </is>
      </c>
      <c r="L16" s="17" t="n"/>
      <c r="M16" s="17" t="n"/>
      <c r="N16" s="17" t="n"/>
      <c r="O16" s="17" t="n"/>
      <c r="P16" s="17" t="n"/>
      <c r="Q16" s="17" t="n"/>
      <c r="R16" s="18">
        <f>IFERROR(Q16/H16*1000,"")</f>
        <v/>
      </c>
      <c r="S16" s="19" t="inlineStr">
        <is>
          <t>anzufragen</t>
        </is>
      </c>
      <c r="T16" s="11" t="inlineStr">
        <is>
          <t>?</t>
        </is>
      </c>
      <c r="U16" s="11" t="inlineStr">
        <is>
          <t>Ja</t>
        </is>
      </c>
      <c r="V16" s="20" t="inlineStr">
        <is>
          <t>anzeigen@sonntags-post.de</t>
        </is>
      </c>
      <c r="W16" s="19" t="inlineStr">
        <is>
          <t>anzufragen</t>
        </is>
      </c>
    </row>
    <row r="17">
      <c r="A17" s="10" t="n">
        <v>15</v>
      </c>
      <c r="B17" s="11" t="inlineStr">
        <is>
          <t>A</t>
        </is>
      </c>
      <c r="C17" s="12" t="inlineStr">
        <is>
          <t>Kerpen</t>
        </is>
      </c>
      <c r="D17" s="13" t="inlineStr">
        <is>
          <t>Kölner Stadt-Anzeiger (Rhein-Erft)</t>
        </is>
      </c>
      <c r="E17" s="12" t="inlineStr">
        <is>
          <t>M. DuMont Schauberg / ksta media</t>
        </is>
      </c>
      <c r="F17" s="10" t="inlineStr">
        <is>
          <t>Tageszeitung</t>
        </is>
      </c>
      <c r="G17" s="10" t="inlineStr">
        <is>
          <t>Mo–Sa</t>
        </is>
      </c>
      <c r="H17" s="14" t="n"/>
      <c r="I17" s="15" t="inlineStr">
        <is>
          <t>Rhein-Erft-Split n/a</t>
        </is>
      </c>
      <c r="J17" s="12" t="inlineStr">
        <is>
          <t>Lokalteil deckt Kerpen</t>
        </is>
      </c>
      <c r="K17" s="16" t="inlineStr">
        <is>
          <t>ksta-media.de</t>
        </is>
      </c>
      <c r="L17" s="17" t="n"/>
      <c r="M17" s="17" t="n"/>
      <c r="N17" s="17" t="n"/>
      <c r="O17" s="17" t="n"/>
      <c r="P17" s="17" t="n"/>
      <c r="Q17" s="17" t="n"/>
      <c r="R17" s="18">
        <f>IFERROR(Q17/H17*1000,"")</f>
        <v/>
      </c>
      <c r="S17" s="19" t="inlineStr">
        <is>
          <t>anzufragen</t>
        </is>
      </c>
      <c r="T17" s="11" t="inlineStr">
        <is>
          <t>Ja</t>
        </is>
      </c>
      <c r="U17" s="11" t="inlineStr">
        <is>
          <t>Ja</t>
        </is>
      </c>
      <c r="V17" s="20" t="inlineStr">
        <is>
          <t>Lokalred. Bergheim 02271/47225220</t>
        </is>
      </c>
      <c r="W17" s="19" t="inlineStr">
        <is>
          <t>anzufragen</t>
        </is>
      </c>
    </row>
    <row r="18">
      <c r="A18" s="10" t="n">
        <v>16</v>
      </c>
      <c r="B18" s="11" t="inlineStr">
        <is>
          <t>A</t>
        </is>
      </c>
      <c r="C18" s="12" t="inlineStr">
        <is>
          <t>Kerpen</t>
        </is>
      </c>
      <c r="D18" s="13" t="inlineStr">
        <is>
          <t>Kölnische Rundschau (Rhein-Erft)</t>
        </is>
      </c>
      <c r="E18" s="12" t="inlineStr">
        <is>
          <t>Heinen-Verlag (Kombi ksta)</t>
        </is>
      </c>
      <c r="F18" s="10" t="inlineStr">
        <is>
          <t>Tageszeitung</t>
        </is>
      </c>
      <c r="G18" s="10" t="inlineStr">
        <is>
          <t>Mo–Sa</t>
        </is>
      </c>
      <c r="H18" s="14" t="n"/>
      <c r="I18" s="15" t="inlineStr">
        <is>
          <t>nur kombiniert</t>
        </is>
      </c>
      <c r="J18" s="12" t="inlineStr">
        <is>
          <t>Rhein-Erft inkl. Kerpen</t>
        </is>
      </c>
      <c r="K18" s="16" t="inlineStr">
        <is>
          <t>ksta-media.de</t>
        </is>
      </c>
      <c r="L18" s="17" t="n"/>
      <c r="M18" s="17" t="n"/>
      <c r="N18" s="17" t="n"/>
      <c r="O18" s="17" t="n"/>
      <c r="P18" s="17" t="n"/>
      <c r="Q18" s="17" t="n"/>
      <c r="R18" s="18">
        <f>IFERROR(Q18/H18*1000,"")</f>
        <v/>
      </c>
      <c r="S18" s="19" t="inlineStr">
        <is>
          <t>anzufragen</t>
        </is>
      </c>
      <c r="T18" s="11" t="inlineStr">
        <is>
          <t>?</t>
        </is>
      </c>
      <c r="U18" s="11" t="inlineStr">
        <is>
          <t>Ja</t>
        </is>
      </c>
      <c r="V18" s="20" t="inlineStr">
        <is>
          <t>s. KStA Bergheim</t>
        </is>
      </c>
      <c r="W18" s="19" t="inlineStr">
        <is>
          <t>anzufragen</t>
        </is>
      </c>
    </row>
    <row r="19">
      <c r="A19" s="10" t="n">
        <v>17</v>
      </c>
      <c r="B19" s="11" t="inlineStr">
        <is>
          <t>B</t>
        </is>
      </c>
      <c r="C19" s="12" t="inlineStr">
        <is>
          <t>Dorsten</t>
        </is>
      </c>
      <c r="D19" s="13" t="inlineStr">
        <is>
          <t>Dorstener Zeitung</t>
        </is>
      </c>
      <c r="E19" s="12" t="inlineStr">
        <is>
          <t>Medienhaus Lensing / media group westf.</t>
        </is>
      </c>
      <c r="F19" s="10" t="inlineStr">
        <is>
          <t>Tageszeitung</t>
        </is>
      </c>
      <c r="G19" s="10" t="inlineStr">
        <is>
          <t>Mo–Sa</t>
        </is>
      </c>
      <c r="H19" s="14" t="n">
        <v>33020</v>
      </c>
      <c r="I19" s="15" t="inlineStr">
        <is>
          <t>IVW-Bezug Q2/24, zu verif.</t>
        </is>
      </c>
      <c r="J19" s="12" t="inlineStr">
        <is>
          <t>Dorsten/Schermbeck/Erle</t>
        </is>
      </c>
      <c r="K19" s="16" t="inlineStr">
        <is>
          <t>lensingmedia.de</t>
        </is>
      </c>
      <c r="L19" s="17" t="n"/>
      <c r="M19" s="17" t="n"/>
      <c r="N19" s="17" t="n"/>
      <c r="O19" s="17" t="n"/>
      <c r="P19" s="17" t="n"/>
      <c r="Q19" s="17" t="n"/>
      <c r="R19" s="18">
        <f>IFERROR(Q19/H19*1000,"")</f>
        <v/>
      </c>
      <c r="S19" s="19" t="inlineStr">
        <is>
          <t>anzufragen</t>
        </is>
      </c>
      <c r="T19" s="11" t="inlineStr">
        <is>
          <t>?</t>
        </is>
      </c>
      <c r="U19" s="11" t="inlineStr">
        <is>
          <t>Ja</t>
        </is>
      </c>
      <c r="V19" s="20" t="inlineStr">
        <is>
          <t>media group westfalen / Lensing</t>
        </is>
      </c>
      <c r="W19" s="19" t="inlineStr">
        <is>
          <t>anzufragen</t>
        </is>
      </c>
    </row>
    <row r="20">
      <c r="A20" s="10" t="n">
        <v>18</v>
      </c>
      <c r="B20" s="11" t="inlineStr">
        <is>
          <t>B</t>
        </is>
      </c>
      <c r="C20" s="12" t="inlineStr">
        <is>
          <t>Dorsten</t>
        </is>
      </c>
      <c r="D20" s="13" t="inlineStr">
        <is>
          <t>Stadtspiegel Dorsten (&amp; Haltern)</t>
        </is>
      </c>
      <c r="E20" s="12" t="inlineStr">
        <is>
          <t>WVW ORA-Anzeigenblätter</t>
        </is>
      </c>
      <c r="F20" s="10" t="inlineStr">
        <is>
          <t>Anzeigenblatt (gratis)</t>
        </is>
      </c>
      <c r="G20" s="10" t="inlineStr">
        <is>
          <t>wöchentl. Sa</t>
        </is>
      </c>
      <c r="H20" s="14" t="n">
        <v>38300</v>
      </c>
      <c r="I20" s="15" t="inlineStr">
        <is>
          <t>Kombi bis 54.150 HH</t>
        </is>
      </c>
      <c r="J20" s="12" t="inlineStr">
        <is>
          <t>Dorsten/Schermbeck</t>
        </is>
      </c>
      <c r="K20" s="16" t="inlineStr">
        <is>
          <t>ora-anzeigenblaetter.de</t>
        </is>
      </c>
      <c r="L20" s="17" t="n"/>
      <c r="M20" s="17" t="n"/>
      <c r="N20" s="17" t="n"/>
      <c r="O20" s="17" t="n"/>
      <c r="P20" s="17" t="n"/>
      <c r="Q20" s="17" t="n"/>
      <c r="R20" s="18">
        <f>IFERROR(Q20/H20*1000,"")</f>
        <v/>
      </c>
      <c r="S20" s="19" t="inlineStr">
        <is>
          <t>anzufragen</t>
        </is>
      </c>
      <c r="T20" s="11" t="inlineStr">
        <is>
          <t>?</t>
        </is>
      </c>
      <c r="U20" s="11" t="inlineStr">
        <is>
          <t>?</t>
        </is>
      </c>
      <c r="V20" s="20" t="inlineStr">
        <is>
          <t>Niels Beck · niels.beck@ora-anzeigenblaetter.de · 02362 9193-14</t>
        </is>
      </c>
      <c r="W20" s="19" t="inlineStr">
        <is>
          <t>anzufragen</t>
        </is>
      </c>
    </row>
    <row r="21">
      <c r="A21" s="10" t="n">
        <v>19</v>
      </c>
      <c r="B21" s="11" t="inlineStr">
        <is>
          <t>B</t>
        </is>
      </c>
      <c r="C21" s="12" t="inlineStr">
        <is>
          <t>Dorsten</t>
        </is>
      </c>
      <c r="D21" s="13" t="inlineStr">
        <is>
          <t>Kirche+Leben (Bistum Münster)</t>
        </is>
      </c>
      <c r="E21" s="12" t="inlineStr">
        <is>
          <t>Aschendorff Medien</t>
        </is>
      </c>
      <c r="F21" s="10" t="inlineStr">
        <is>
          <t>Kirchenzeitung</t>
        </is>
      </c>
      <c r="G21" s="10" t="inlineStr">
        <is>
          <t>wöchentl.</t>
        </is>
      </c>
      <c r="H21" s="14" t="n">
        <v>17900</v>
      </c>
      <c r="I21" s="15" t="inlineStr">
        <is>
          <t>bistumsweit</t>
        </is>
      </c>
      <c r="J21" s="12" t="inlineStr">
        <is>
          <t>Bistum Münster (kirchennahe 60+)</t>
        </is>
      </c>
      <c r="K21" s="16" t="inlineStr">
        <is>
          <t>kirche-und-leben.de</t>
        </is>
      </c>
      <c r="L21" s="17" t="n"/>
      <c r="M21" s="17" t="n"/>
      <c r="N21" s="17" t="n"/>
      <c r="O21" s="17" t="n"/>
      <c r="P21" s="17" t="n"/>
      <c r="Q21" s="17" t="n"/>
      <c r="R21" s="18">
        <f>IFERROR(Q21/H21*1000,"")</f>
        <v/>
      </c>
      <c r="S21" s="19" t="inlineStr">
        <is>
          <t>anzufragen</t>
        </is>
      </c>
      <c r="T21" s="11" t="inlineStr">
        <is>
          <t>?</t>
        </is>
      </c>
      <c r="U21" s="11" t="inlineStr">
        <is>
          <t>Ja</t>
        </is>
      </c>
      <c r="V21" s="20" t="inlineStr">
        <is>
          <t>Aschendorff Medien</t>
        </is>
      </c>
      <c r="W21" s="19" t="inlineStr">
        <is>
          <t>anzufragen</t>
        </is>
      </c>
    </row>
    <row r="22">
      <c r="A22" s="10" t="n">
        <v>20</v>
      </c>
      <c r="B22" s="11" t="inlineStr">
        <is>
          <t>B</t>
        </is>
      </c>
      <c r="C22" s="12" t="inlineStr">
        <is>
          <t>Gevelsberg</t>
        </is>
      </c>
      <c r="D22" s="13" t="inlineStr">
        <is>
          <t>Westfalenpost (EN-Süd)</t>
        </is>
      </c>
      <c r="E22" s="12" t="inlineStr">
        <is>
          <t>FUNKE Medien NRW</t>
        </is>
      </c>
      <c r="F22" s="10" t="inlineStr">
        <is>
          <t>Tageszeitung</t>
        </is>
      </c>
      <c r="G22" s="10" t="inlineStr">
        <is>
          <t>Mo–Sa</t>
        </is>
      </c>
      <c r="H22" s="14" t="n">
        <v>8831</v>
      </c>
      <c r="I22" s="15" t="inlineStr">
        <is>
          <t>EN-Süd verk.; DU-Anteil ~2.952</t>
        </is>
      </c>
      <c r="J22" s="12" t="inlineStr">
        <is>
          <t>Gevelsberg/Ennepetal/Schwelm</t>
        </is>
      </c>
      <c r="K22" s="16" t="inlineStr">
        <is>
          <t>funkemediasalesnrw.de</t>
        </is>
      </c>
      <c r="L22" s="17" t="n"/>
      <c r="M22" s="17" t="n"/>
      <c r="N22" s="17" t="n"/>
      <c r="O22" s="17" t="n"/>
      <c r="P22" s="17" t="n"/>
      <c r="Q22" s="17" t="n"/>
      <c r="R22" s="18">
        <f>IFERROR(Q22/H22*1000,"")</f>
        <v/>
      </c>
      <c r="S22" s="19" t="inlineStr">
        <is>
          <t>anzufragen</t>
        </is>
      </c>
      <c r="T22" s="11" t="inlineStr">
        <is>
          <t>?</t>
        </is>
      </c>
      <c r="U22" s="11" t="inlineStr">
        <is>
          <t>Ja</t>
        </is>
      </c>
      <c r="V22" s="20" t="inlineStr">
        <is>
          <t>salesoffice@funkemedien.de · 0201/804-6999</t>
        </is>
      </c>
      <c r="W22" s="19" t="inlineStr">
        <is>
          <t>anzufragen</t>
        </is>
      </c>
    </row>
    <row r="23">
      <c r="A23" s="10" t="n">
        <v>21</v>
      </c>
      <c r="B23" s="11" t="inlineStr">
        <is>
          <t>B</t>
        </is>
      </c>
      <c r="C23" s="12" t="inlineStr">
        <is>
          <t>Gevelsberg</t>
        </is>
      </c>
      <c r="D23" s="13" t="inlineStr">
        <is>
          <t>WAP – Wochenblatt Schwelm·Ennepetal·Gevelsberg</t>
        </is>
      </c>
      <c r="E23" s="12" t="inlineStr">
        <is>
          <t>WVW/ORA (FUNKE)</t>
        </is>
      </c>
      <c r="F23" s="10" t="inlineStr">
        <is>
          <t>Anzeigenblatt (gratis)</t>
        </is>
      </c>
      <c r="G23" s="10" t="inlineStr">
        <is>
          <t>wöchentl. Sa</t>
        </is>
      </c>
      <c r="H23" s="14" t="n">
        <v>47900</v>
      </c>
      <c r="I23" s="15" t="inlineStr">
        <is>
          <t>44.570 HH</t>
        </is>
      </c>
      <c r="J23" s="12" t="inlineStr">
        <is>
          <t>Gevelsberg voll</t>
        </is>
      </c>
      <c r="K23" s="16" t="inlineStr">
        <is>
          <t>wvw-anzeigenblaetter.de</t>
        </is>
      </c>
      <c r="L23" s="17" t="n"/>
      <c r="M23" s="17" t="n"/>
      <c r="N23" s="17" t="n"/>
      <c r="O23" s="17" t="n"/>
      <c r="P23" s="17" t="n"/>
      <c r="Q23" s="17" t="n"/>
      <c r="R23" s="18">
        <f>IFERROR(Q23/H23*1000,"")</f>
        <v/>
      </c>
      <c r="S23" s="19" t="inlineStr">
        <is>
          <t>anzufragen</t>
        </is>
      </c>
      <c r="T23" s="11" t="inlineStr">
        <is>
          <t>?</t>
        </is>
      </c>
      <c r="U23" s="11" t="inlineStr">
        <is>
          <t>Ja</t>
        </is>
      </c>
      <c r="V23" s="20" t="inlineStr">
        <is>
          <t>Britta Sippel · salesoffice@funkemedien.de</t>
        </is>
      </c>
      <c r="W23" s="19" t="inlineStr">
        <is>
          <t>anzufragen</t>
        </is>
      </c>
    </row>
    <row r="24">
      <c r="A24" s="10" t="n">
        <v>22</v>
      </c>
      <c r="B24" s="11" t="inlineStr">
        <is>
          <t>B</t>
        </is>
      </c>
      <c r="C24" s="12" t="inlineStr">
        <is>
          <t>Gevelsberg</t>
        </is>
      </c>
      <c r="D24" s="13" t="inlineStr">
        <is>
          <t>WochenKurier Ennepe-Ruhr</t>
        </is>
      </c>
      <c r="E24" s="12" t="inlineStr">
        <is>
          <t>wochenkurier E-R GmbH (unabh.)</t>
        </is>
      </c>
      <c r="F24" s="10" t="inlineStr">
        <is>
          <t>Anzeigenblatt (gratis)</t>
        </is>
      </c>
      <c r="G24" s="10" t="inlineStr">
        <is>
          <t>Mi + WE</t>
        </is>
      </c>
      <c r="H24" s="14" t="n">
        <v>43000</v>
      </c>
      <c r="I24" s="15" t="inlineStr">
        <is>
          <t>Snippet, zu best.</t>
        </is>
      </c>
      <c r="J24" s="12" t="inlineStr">
        <is>
          <t>Gevelsberg voll</t>
        </is>
      </c>
      <c r="K24" s="16" t="inlineStr">
        <is>
          <t>wochenkurier.info</t>
        </is>
      </c>
      <c r="L24" s="17" t="n"/>
      <c r="M24" s="17" t="n"/>
      <c r="N24" s="17" t="n"/>
      <c r="O24" s="17" t="n"/>
      <c r="P24" s="17" t="n"/>
      <c r="Q24" s="17" t="n"/>
      <c r="R24" s="18">
        <f>IFERROR(Q24/H24*1000,"")</f>
        <v/>
      </c>
      <c r="S24" s="19" t="inlineStr">
        <is>
          <t>anzufragen</t>
        </is>
      </c>
      <c r="T24" s="11" t="inlineStr">
        <is>
          <t>?</t>
        </is>
      </c>
      <c r="U24" s="11" t="inlineStr">
        <is>
          <t>?</t>
        </is>
      </c>
      <c r="V24" s="20" t="inlineStr">
        <is>
          <t>enneperuhr@wochenkurier.de · 02332-2652</t>
        </is>
      </c>
      <c r="W24" s="19" t="inlineStr">
        <is>
          <t>anzufragen</t>
        </is>
      </c>
    </row>
    <row r="25">
      <c r="A25" s="10" t="n">
        <v>23</v>
      </c>
      <c r="B25" s="11" t="inlineStr">
        <is>
          <t>C</t>
        </is>
      </c>
      <c r="C25" s="12" t="inlineStr">
        <is>
          <t>Iserlohn</t>
        </is>
      </c>
      <c r="D25" s="13" t="inlineStr">
        <is>
          <t>Iserlohner Kreisanzeiger u. Zeitung (IKZ)</t>
        </is>
      </c>
      <c r="E25" s="12" t="inlineStr">
        <is>
          <t>Wichelhoven / FUNKE-Beteil.</t>
        </is>
      </c>
      <c r="F25" s="10" t="inlineStr">
        <is>
          <t>Tageszeitung</t>
        </is>
      </c>
      <c r="G25" s="10" t="inlineStr">
        <is>
          <t>Mo–Sa</t>
        </is>
      </c>
      <c r="H25" s="14" t="n">
        <v>9853</v>
      </c>
      <c r="I25" s="15" t="inlineStr">
        <is>
          <t>Wikipedia/IVW-Bezug, zu verif.</t>
        </is>
      </c>
      <c r="J25" s="12" t="inlineStr">
        <is>
          <t>Iserlohn/Hemer/Letmathe</t>
        </is>
      </c>
      <c r="K25" s="16" t="inlineStr">
        <is>
          <t>funkemediasalesnrw.de</t>
        </is>
      </c>
      <c r="L25" s="17" t="n"/>
      <c r="M25" s="17" t="n"/>
      <c r="N25" s="17" t="n"/>
      <c r="O25" s="17" t="n"/>
      <c r="P25" s="17" t="n"/>
      <c r="Q25" s="17" t="n"/>
      <c r="R25" s="18">
        <f>IFERROR(Q25/H25*1000,"")</f>
        <v/>
      </c>
      <c r="S25" s="19" t="inlineStr">
        <is>
          <t>anzufragen</t>
        </is>
      </c>
      <c r="T25" s="11" t="inlineStr">
        <is>
          <t>?</t>
        </is>
      </c>
      <c r="U25" s="11" t="inlineStr">
        <is>
          <t>Ja</t>
        </is>
      </c>
      <c r="V25" s="20" t="inlineStr">
        <is>
          <t>verlag@ikz-online.de · 02371/822-204 (unverif.)</t>
        </is>
      </c>
      <c r="W25" s="19" t="inlineStr">
        <is>
          <t>anzufragen</t>
        </is>
      </c>
    </row>
    <row r="26">
      <c r="A26" s="10" t="n">
        <v>24</v>
      </c>
      <c r="B26" s="11" t="inlineStr">
        <is>
          <t>C</t>
        </is>
      </c>
      <c r="C26" s="12" t="inlineStr">
        <is>
          <t>Iserlohn</t>
        </is>
      </c>
      <c r="D26" s="13" t="inlineStr">
        <is>
          <t>Stadtspiegel Iserlohn/Hemer</t>
        </is>
      </c>
      <c r="E26" s="12" t="inlineStr">
        <is>
          <t>WVW/ORA (FUNKE)</t>
        </is>
      </c>
      <c r="F26" s="10" t="inlineStr">
        <is>
          <t>Anzeigenblatt (gratis)</t>
        </is>
      </c>
      <c r="G26" s="10" t="inlineStr">
        <is>
          <t>Mi (Gesamt Sa)</t>
        </is>
      </c>
      <c r="H26" s="14" t="n">
        <v>51200</v>
      </c>
      <c r="I26" s="15" t="inlineStr">
        <is>
          <t>HH Iserlohn/Letmathe (Titelkopf)</t>
        </is>
      </c>
      <c r="J26" s="12" t="inlineStr">
        <is>
          <t>Iserlohn flächendeckend</t>
        </is>
      </c>
      <c r="K26" s="16" t="inlineStr">
        <is>
          <t>wvw-anzeigenblaetter.de</t>
        </is>
      </c>
      <c r="L26" s="17" t="n"/>
      <c r="M26" s="17" t="n"/>
      <c r="N26" s="17" t="n"/>
      <c r="O26" s="17" t="n"/>
      <c r="P26" s="17" t="n"/>
      <c r="Q26" s="17" t="n"/>
      <c r="R26" s="18">
        <f>IFERROR(Q26/H26*1000,"")</f>
        <v/>
      </c>
      <c r="S26" s="19" t="inlineStr">
        <is>
          <t>anzufragen</t>
        </is>
      </c>
      <c r="T26" s="11" t="inlineStr">
        <is>
          <t>?</t>
        </is>
      </c>
      <c r="U26" s="11" t="inlineStr">
        <is>
          <t>Ja</t>
        </is>
      </c>
      <c r="V26" s="20" t="inlineStr">
        <is>
          <t>Britta Sippel · salesoffice@funkemedien.de · 0201/804-6999</t>
        </is>
      </c>
      <c r="W26" s="19" t="inlineStr">
        <is>
          <t>anzufragen</t>
        </is>
      </c>
    </row>
    <row r="27">
      <c r="A27" s="10" t="n">
        <v>25</v>
      </c>
      <c r="B27" s="11" t="inlineStr">
        <is>
          <t>C</t>
        </is>
      </c>
      <c r="C27" s="12" t="inlineStr">
        <is>
          <t>Lüdenscheid</t>
        </is>
      </c>
      <c r="D27" s="13" t="inlineStr">
        <is>
          <t>Lüdenscheider Nachrichten (LN)</t>
        </is>
      </c>
      <c r="E27" s="12" t="inlineStr">
        <is>
          <t>Märkischer Zeitungsverlag (Ippen)</t>
        </is>
      </c>
      <c r="F27" s="10" t="inlineStr">
        <is>
          <t>Tageszeitung</t>
        </is>
      </c>
      <c r="G27" s="10" t="inlineStr">
        <is>
          <t>Mo–Sa</t>
        </is>
      </c>
      <c r="H27" s="14" t="n">
        <v>14375</v>
      </c>
      <c r="I27" s="15" t="inlineStr">
        <is>
          <t>2014; seither IVW-passiv</t>
        </is>
      </c>
      <c r="J27" s="12" t="inlineStr">
        <is>
          <t>Lüdenscheid + südl. Märk. Kreis</t>
        </is>
      </c>
      <c r="K27" s="16" t="inlineStr">
        <is>
          <t>come-on.de</t>
        </is>
      </c>
      <c r="L27" s="17" t="n"/>
      <c r="M27" s="17" t="n"/>
      <c r="N27" s="17" t="n"/>
      <c r="O27" s="17" t="n"/>
      <c r="P27" s="17" t="n"/>
      <c r="Q27" s="17" t="n"/>
      <c r="R27" s="18">
        <f>IFERROR(Q27/H27*1000,"")</f>
        <v/>
      </c>
      <c r="S27" s="19" t="inlineStr">
        <is>
          <t>anzufragen</t>
        </is>
      </c>
      <c r="T27" s="11" t="inlineStr">
        <is>
          <t>?</t>
        </is>
      </c>
      <c r="U27" s="11" t="inlineStr">
        <is>
          <t>Ja</t>
        </is>
      </c>
      <c r="V27" s="20" t="inlineStr">
        <is>
          <t>02351 158-0 · ln@mzv.net</t>
        </is>
      </c>
      <c r="W27" s="19" t="inlineStr">
        <is>
          <t>anzufragen</t>
        </is>
      </c>
    </row>
    <row r="28">
      <c r="A28" s="10" t="n">
        <v>26</v>
      </c>
      <c r="B28" s="11" t="inlineStr">
        <is>
          <t>C</t>
        </is>
      </c>
      <c r="C28" s="12" t="inlineStr">
        <is>
          <t>Lüdenscheid; Neuenrade</t>
        </is>
      </c>
      <c r="D28" s="13" t="inlineStr">
        <is>
          <t>Der Bote (Märkischer Kreis)</t>
        </is>
      </c>
      <c r="E28" s="12" t="inlineStr">
        <is>
          <t>MZV / wa-anzeigenblaetter (Ippen)</t>
        </is>
      </c>
      <c r="F28" s="10" t="inlineStr">
        <is>
          <t>Anzeigenblatt (gratis)</t>
        </is>
      </c>
      <c r="G28" s="10" t="inlineStr">
        <is>
          <t>wöchentl. Sa</t>
        </is>
      </c>
      <c r="H28" s="14" t="n">
        <v>102000</v>
      </c>
      <c r="I28" s="15" t="inlineStr">
        <is>
          <t>Gesamt; Teilaufl. je Ort n/a</t>
        </is>
      </c>
      <c r="J28" s="12" t="inlineStr">
        <is>
          <t>Märk. Kreis (Vollverteilung)</t>
        </is>
      </c>
      <c r="K28" s="16" t="inlineStr">
        <is>
          <t>wa-anzeigenblaetter.de/der-bote</t>
        </is>
      </c>
      <c r="L28" s="17" t="n"/>
      <c r="M28" s="17" t="n"/>
      <c r="N28" s="17" t="n"/>
      <c r="O28" s="17" t="n"/>
      <c r="P28" s="17" t="n"/>
      <c r="Q28" s="17" t="n"/>
      <c r="R28" s="18">
        <f>IFERROR(Q28/H28*1000,"")</f>
        <v/>
      </c>
      <c r="S28" s="19" t="inlineStr">
        <is>
          <t>anzufragen</t>
        </is>
      </c>
      <c r="T28" s="11" t="inlineStr">
        <is>
          <t>?</t>
        </is>
      </c>
      <c r="U28" s="11" t="inlineStr">
        <is>
          <t>?</t>
        </is>
      </c>
      <c r="V28" s="20" t="inlineStr">
        <is>
          <t>0800 8000-105</t>
        </is>
      </c>
      <c r="W28" s="19" t="inlineStr">
        <is>
          <t>anzufragen</t>
        </is>
      </c>
    </row>
    <row r="29">
      <c r="A29" s="10" t="n">
        <v>27</v>
      </c>
      <c r="B29" s="11" t="inlineStr">
        <is>
          <t>C</t>
        </is>
      </c>
      <c r="C29" s="12" t="inlineStr">
        <is>
          <t>Neuenrade</t>
        </is>
      </c>
      <c r="D29" s="13" t="inlineStr">
        <is>
          <t>Süderländer Volksfreund (Ausg. Werdohl)</t>
        </is>
      </c>
      <c r="E29" s="12" t="inlineStr">
        <is>
          <t>Märkischer Zeitungsverlag (Ippen)</t>
        </is>
      </c>
      <c r="F29" s="10" t="inlineStr">
        <is>
          <t>Tageszeitung</t>
        </is>
      </c>
      <c r="G29" s="10" t="inlineStr">
        <is>
          <t>Mo–Sa</t>
        </is>
      </c>
      <c r="H29" s="14" t="n">
        <v>3796</v>
      </c>
      <c r="I29" s="15" t="inlineStr">
        <is>
          <t>drehscheibe, IVW-passiv (unbest.)</t>
        </is>
      </c>
      <c r="J29" s="12" t="inlineStr">
        <is>
          <t>Werdohl/Neuenrade/Balve</t>
        </is>
      </c>
      <c r="K29" s="16" t="inlineStr">
        <is>
          <t>wa-crossmedia.de</t>
        </is>
      </c>
      <c r="L29" s="17" t="n"/>
      <c r="M29" s="17" t="n"/>
      <c r="N29" s="17" t="n"/>
      <c r="O29" s="17" t="n"/>
      <c r="P29" s="17" t="n"/>
      <c r="Q29" s="17" t="n"/>
      <c r="R29" s="18">
        <f>IFERROR(Q29/H29*1000,"")</f>
        <v/>
      </c>
      <c r="S29" s="19" t="inlineStr">
        <is>
          <t>anzufragen</t>
        </is>
      </c>
      <c r="T29" s="11" t="inlineStr">
        <is>
          <t>Ja</t>
        </is>
      </c>
      <c r="U29" s="11" t="inlineStr">
        <is>
          <t>Ja</t>
        </is>
      </c>
      <c r="V29" s="20" t="inlineStr">
        <is>
          <t>0800 8000-105 · Red. Werdohl</t>
        </is>
      </c>
      <c r="W29" s="19" t="inlineStr">
        <is>
          <t>anzufragen</t>
        </is>
      </c>
    </row>
    <row r="30">
      <c r="A30" s="10" t="n">
        <v>28</v>
      </c>
      <c r="B30" s="11" t="inlineStr">
        <is>
          <t>C</t>
        </is>
      </c>
      <c r="C30" s="12" t="inlineStr">
        <is>
          <t>Attendorn</t>
        </is>
      </c>
      <c r="D30" s="13" t="inlineStr">
        <is>
          <t>Westfalenpost (Kreis Olpe)</t>
        </is>
      </c>
      <c r="E30" s="12" t="inlineStr">
        <is>
          <t>FUNKE Medien NRW</t>
        </is>
      </c>
      <c r="F30" s="10" t="inlineStr">
        <is>
          <t>Tageszeitung</t>
        </is>
      </c>
      <c r="G30" s="10" t="inlineStr">
        <is>
          <t>Mo–Sa</t>
        </is>
      </c>
      <c r="H30" s="14" t="n"/>
      <c r="I30" s="15" t="inlineStr">
        <is>
          <t>Olpe-Split nicht öff.</t>
        </is>
      </c>
      <c r="J30" s="12" t="inlineStr">
        <is>
          <t>Kreis Olpe inkl. Attendorn</t>
        </is>
      </c>
      <c r="K30" s="16" t="inlineStr">
        <is>
          <t>funkemediasalesnrw.de</t>
        </is>
      </c>
      <c r="L30" s="17" t="n"/>
      <c r="M30" s="17" t="n"/>
      <c r="N30" s="17" t="n"/>
      <c r="O30" s="17" t="n"/>
      <c r="P30" s="17" t="n"/>
      <c r="Q30" s="17" t="n"/>
      <c r="R30" s="18">
        <f>IFERROR(Q30/H30*1000,"")</f>
        <v/>
      </c>
      <c r="S30" s="19" t="inlineStr">
        <is>
          <t>anzufragen</t>
        </is>
      </c>
      <c r="T30" s="11" t="inlineStr">
        <is>
          <t>?</t>
        </is>
      </c>
      <c r="U30" s="11" t="inlineStr">
        <is>
          <t>Ja</t>
        </is>
      </c>
      <c r="V30" s="20" t="inlineStr">
        <is>
          <t>olpe@westfalenpost.de · 02761 89523</t>
        </is>
      </c>
      <c r="W30" s="19" t="inlineStr">
        <is>
          <t>anzufragen</t>
        </is>
      </c>
    </row>
    <row r="31">
      <c r="A31" s="10" t="n">
        <v>29</v>
      </c>
      <c r="B31" s="11" t="inlineStr">
        <is>
          <t>C</t>
        </is>
      </c>
      <c r="C31" s="12" t="inlineStr">
        <is>
          <t>Attendorn</t>
        </is>
      </c>
      <c r="D31" s="13" t="inlineStr">
        <is>
          <t>SauerlandKurier (Olpe/Attendorn)</t>
        </is>
      </c>
      <c r="E31" s="12" t="inlineStr">
        <is>
          <t>Kurier Verlag Lennestadt</t>
        </is>
      </c>
      <c r="F31" s="10" t="inlineStr">
        <is>
          <t>Anzeigenblatt (gratis)</t>
        </is>
      </c>
      <c r="G31" s="10" t="inlineStr">
        <is>
          <t>Mi + Sa</t>
        </is>
      </c>
      <c r="H31" s="14" t="n">
        <v>66160</v>
      </c>
      <c r="I31" s="15" t="inlineStr">
        <is>
          <t>Teilausg. Olpe/Attendorn</t>
        </is>
      </c>
      <c r="J31" s="12" t="inlineStr">
        <is>
          <t>Kreis Olpe inkl. Attendorn</t>
        </is>
      </c>
      <c r="K31" s="16" t="inlineStr">
        <is>
          <t>sauerlandkurier.de</t>
        </is>
      </c>
      <c r="L31" s="17" t="n"/>
      <c r="M31" s="17" t="n"/>
      <c r="N31" s="17" t="n"/>
      <c r="O31" s="17" t="n"/>
      <c r="P31" s="17" t="n"/>
      <c r="Q31" s="17" t="n"/>
      <c r="R31" s="18">
        <f>IFERROR(Q31/H31*1000,"")</f>
        <v/>
      </c>
      <c r="S31" s="19" t="inlineStr">
        <is>
          <t>anzufragen</t>
        </is>
      </c>
      <c r="T31" s="11" t="inlineStr">
        <is>
          <t>?</t>
        </is>
      </c>
      <c r="U31" s="11" t="inlineStr">
        <is>
          <t>?</t>
        </is>
      </c>
      <c r="V31" s="20" t="inlineStr">
        <is>
          <t>info@sauerlandkurier.de · 02761 93990</t>
        </is>
      </c>
      <c r="W31" s="19" t="inlineStr">
        <is>
          <t>anzufragen</t>
        </is>
      </c>
    </row>
    <row r="32">
      <c r="A32" s="10" t="n">
        <v>30</v>
      </c>
      <c r="B32" s="11" t="inlineStr">
        <is>
          <t>C</t>
        </is>
      </c>
      <c r="C32" s="12" t="inlineStr">
        <is>
          <t>Attendorn</t>
        </is>
      </c>
      <c r="D32" s="13" t="inlineStr">
        <is>
          <t>WOLL-Magazin (Rund um den Biggesee)</t>
        </is>
      </c>
      <c r="E32" s="12" t="inlineStr">
        <is>
          <t>FREY PRINT + MEDIA GmbH</t>
        </is>
      </c>
      <c r="F32" s="10" t="inlineStr">
        <is>
          <t>Regionalmagazin</t>
        </is>
      </c>
      <c r="G32" s="10" t="inlineStr">
        <is>
          <t>4×/Jahr</t>
        </is>
      </c>
      <c r="H32" s="14" t="n">
        <v>49000</v>
      </c>
      <c r="I32" s="15" t="inlineStr">
        <is>
          <t>WOLL gesamt; Biggesee-Split n/a</t>
        </is>
      </c>
      <c r="J32" s="12" t="inlineStr">
        <is>
          <t>Attendorn/Olpe/Drolshagen/Wenden</t>
        </is>
      </c>
      <c r="K32" s="16" t="inlineStr">
        <is>
          <t>woll-magazin.de</t>
        </is>
      </c>
      <c r="L32" s="17" t="n"/>
      <c r="M32" s="17" t="n"/>
      <c r="N32" s="17" t="n"/>
      <c r="O32" s="17" t="n"/>
      <c r="P32" s="17" t="n"/>
      <c r="Q32" s="17" t="n"/>
      <c r="R32" s="18">
        <f>IFERROR(Q32/H32*1000,"")</f>
        <v/>
      </c>
      <c r="S32" s="19" t="inlineStr">
        <is>
          <t>anzufragen</t>
        </is>
      </c>
      <c r="T32" s="11" t="inlineStr">
        <is>
          <t>Ja</t>
        </is>
      </c>
      <c r="U32" s="11" t="inlineStr">
        <is>
          <t>Nein</t>
        </is>
      </c>
      <c r="V32" s="20" t="inlineStr">
        <is>
          <t>woll-magazin.de/kontakt-anzeigen-und-advertorials</t>
        </is>
      </c>
      <c r="W32" s="19" t="inlineStr">
        <is>
          <t>anzufragen</t>
        </is>
      </c>
    </row>
    <row r="33">
      <c r="A33" s="10" t="n">
        <v>31</v>
      </c>
      <c r="B33" s="11" t="inlineStr">
        <is>
          <t>D</t>
        </is>
      </c>
      <c r="C33" s="12" t="inlineStr">
        <is>
          <t>Hameln; Hess-Oldendorf</t>
        </is>
      </c>
      <c r="D33" s="13" t="inlineStr">
        <is>
          <t>Deister- und Weserzeitung (DEWEZET)</t>
        </is>
      </c>
      <c r="E33" s="12" t="inlineStr">
        <is>
          <t>DEWEZET Verlagsges.</t>
        </is>
      </c>
      <c r="F33" s="10" t="inlineStr">
        <is>
          <t>Tageszeitung</t>
        </is>
      </c>
      <c r="G33" s="10" t="inlineStr">
        <is>
          <t>Mo–Sa</t>
        </is>
      </c>
      <c r="H33" s="14" t="n">
        <v>11887</v>
      </c>
      <c r="I33" s="15" t="inlineStr">
        <is>
          <t>Hauptausg.; Verbund ~16.635</t>
        </is>
      </c>
      <c r="J33" s="12" t="inlineStr">
        <is>
          <t>Lkr Hameln-Pyrmont</t>
        </is>
      </c>
      <c r="K33" s="16" t="inlineStr">
        <is>
          <t>dewezet.de/anzeigen/mediadaten.html</t>
        </is>
      </c>
      <c r="L33" s="17" t="n"/>
      <c r="M33" s="17" t="n"/>
      <c r="N33" s="17" t="n"/>
      <c r="O33" s="17" t="n"/>
      <c r="P33" s="17" t="n"/>
      <c r="Q33" s="17" t="n"/>
      <c r="R33" s="18">
        <f>IFERROR(Q33/H33*1000,"")</f>
        <v/>
      </c>
      <c r="S33" s="19" t="inlineStr">
        <is>
          <t>anzufragen</t>
        </is>
      </c>
      <c r="T33" s="11" t="inlineStr">
        <is>
          <t>Ja</t>
        </is>
      </c>
      <c r="U33" s="11" t="inlineStr">
        <is>
          <t>Ja</t>
        </is>
      </c>
      <c r="V33" s="20" t="inlineStr">
        <is>
          <t>dewezet.de/anzeigen/</t>
        </is>
      </c>
      <c r="W33" s="19" t="inlineStr">
        <is>
          <t>anzufragen</t>
        </is>
      </c>
    </row>
    <row r="34">
      <c r="A34" s="10" t="n">
        <v>32</v>
      </c>
      <c r="B34" s="11" t="inlineStr">
        <is>
          <t>D</t>
        </is>
      </c>
      <c r="C34" s="12" t="inlineStr">
        <is>
          <t>Hameln; Hess-Oldendorf</t>
        </is>
      </c>
      <c r="D34" s="13" t="inlineStr">
        <is>
          <t>Hallo Sonntag</t>
        </is>
      </c>
      <c r="E34" s="12" t="inlineStr">
        <is>
          <t>Weser-Region Werbeverlag (WRW)</t>
        </is>
      </c>
      <c r="F34" s="10" t="inlineStr">
        <is>
          <t>Anzeigenblatt (gratis)</t>
        </is>
      </c>
      <c r="G34" s="10" t="inlineStr">
        <is>
          <t>wöchentl.</t>
        </is>
      </c>
      <c r="H34" s="14" t="n">
        <v>61309</v>
      </c>
      <c r="I34" s="15" t="inlineStr">
        <is>
          <t>Preisliste Nr.29, 2020</t>
        </is>
      </c>
      <c r="J34" s="12" t="inlineStr">
        <is>
          <t>Hameln/Hess-Old/Aerzen u.a.</t>
        </is>
      </c>
      <c r="K34" s="16" t="inlineStr">
        <is>
          <t>hallo-hameln-pyrmont.de</t>
        </is>
      </c>
      <c r="L34" s="17" t="n"/>
      <c r="M34" s="17" t="n"/>
      <c r="N34" s="17" t="n"/>
      <c r="O34" s="17" t="n"/>
      <c r="P34" s="17" t="n"/>
      <c r="Q34" s="17" t="n"/>
      <c r="R34" s="18">
        <f>IFERROR(Q34/H34*1000,"")</f>
        <v/>
      </c>
      <c r="S34" s="19" t="inlineStr">
        <is>
          <t>anzufragen</t>
        </is>
      </c>
      <c r="T34" s="11" t="inlineStr">
        <is>
          <t>Ja</t>
        </is>
      </c>
      <c r="U34" s="11" t="inlineStr">
        <is>
          <t>?</t>
        </is>
      </c>
      <c r="V34" s="20" t="inlineStr">
        <is>
          <t>anzeigen@wrw-hameln.de · 05151 5788-0 · Nicole Lödige</t>
        </is>
      </c>
      <c r="W34" s="19" t="inlineStr">
        <is>
          <t>anzufragen</t>
        </is>
      </c>
    </row>
    <row r="35">
      <c r="A35" s="10" t="n">
        <v>33</v>
      </c>
      <c r="B35" s="11" t="inlineStr">
        <is>
          <t>D</t>
        </is>
      </c>
      <c r="C35" s="12" t="inlineStr">
        <is>
          <t>Hameln</t>
        </is>
      </c>
      <c r="D35" s="13" t="inlineStr">
        <is>
          <t>Neue Woche</t>
        </is>
      </c>
      <c r="E35" s="12" t="inlineStr">
        <is>
          <t>Neue Woche Verlag GmbH</t>
        </is>
      </c>
      <c r="F35" s="10" t="inlineStr">
        <is>
          <t>Anzeigenblatt (gratis)</t>
        </is>
      </c>
      <c r="G35" s="10" t="inlineStr">
        <is>
          <t>Fr (zu verif.)</t>
        </is>
      </c>
      <c r="H35" s="14" t="n">
        <v>25000</v>
      </c>
      <c r="I35" s="15" t="inlineStr">
        <is>
          <t>2012; aktuell zu verif.</t>
        </is>
      </c>
      <c r="J35" s="12" t="inlineStr">
        <is>
          <t>Lkr Hameln-Pyrmont</t>
        </is>
      </c>
      <c r="K35" s="16" t="inlineStr">
        <is>
          <t>neue-woche.com</t>
        </is>
      </c>
      <c r="L35" s="17" t="n"/>
      <c r="M35" s="17" t="n"/>
      <c r="N35" s="17" t="n"/>
      <c r="O35" s="17" t="n"/>
      <c r="P35" s="17" t="n"/>
      <c r="Q35" s="17" t="n"/>
      <c r="R35" s="18">
        <f>IFERROR(Q35/H35*1000,"")</f>
        <v/>
      </c>
      <c r="S35" s="19" t="inlineStr">
        <is>
          <t>anzufragen</t>
        </is>
      </c>
      <c r="T35" s="11" t="inlineStr">
        <is>
          <t>?</t>
        </is>
      </c>
      <c r="U35" s="11" t="inlineStr">
        <is>
          <t>?</t>
        </is>
      </c>
      <c r="V35" s="20" t="inlineStr">
        <is>
          <t>05151 98123-80</t>
        </is>
      </c>
      <c r="W35" s="19" t="inlineStr">
        <is>
          <t>anzufragen</t>
        </is>
      </c>
    </row>
    <row r="36">
      <c r="A36" s="10" t="n">
        <v>34</v>
      </c>
      <c r="B36" s="11" t="inlineStr">
        <is>
          <t>D</t>
        </is>
      </c>
      <c r="C36" s="12" t="inlineStr">
        <is>
          <t>Bad Pyrmont</t>
        </is>
      </c>
      <c r="D36" s="13" t="inlineStr">
        <is>
          <t>Pyrmonter Nachrichten (DEWEZET)</t>
        </is>
      </c>
      <c r="E36" s="12" t="inlineStr">
        <is>
          <t>DEWEZET Verlagsges.</t>
        </is>
      </c>
      <c r="F36" s="10" t="inlineStr">
        <is>
          <t>Tageszeitung</t>
        </is>
      </c>
      <c r="G36" s="10" t="inlineStr">
        <is>
          <t>Mo–Sa</t>
        </is>
      </c>
      <c r="H36" s="14" t="n"/>
      <c r="I36" s="15" t="inlineStr">
        <is>
          <t>Verbund ~16.635; Einzel n/a</t>
        </is>
      </c>
      <c r="J36" s="12" t="inlineStr">
        <is>
          <t>Bad Pyrmont + östl. Kr. Lippe</t>
        </is>
      </c>
      <c r="K36" s="16" t="inlineStr">
        <is>
          <t>dewezet.de/anzeigen/mediadaten.html</t>
        </is>
      </c>
      <c r="L36" s="17" t="n"/>
      <c r="M36" s="17" t="n"/>
      <c r="N36" s="17" t="n"/>
      <c r="O36" s="17" t="n"/>
      <c r="P36" s="17" t="n"/>
      <c r="Q36" s="17" t="n"/>
      <c r="R36" s="18">
        <f>IFERROR(Q36/H36*1000,"")</f>
        <v/>
      </c>
      <c r="S36" s="19" t="inlineStr">
        <is>
          <t>anzufragen</t>
        </is>
      </c>
      <c r="T36" s="11" t="inlineStr">
        <is>
          <t>Ja</t>
        </is>
      </c>
      <c r="U36" s="11" t="inlineStr">
        <is>
          <t>Ja</t>
        </is>
      </c>
      <c r="V36" s="20" t="inlineStr">
        <is>
          <t>Zweigst. Bad Pyrmont · dewezet.de/anzeigen/</t>
        </is>
      </c>
      <c r="W36" s="19" t="inlineStr">
        <is>
          <t>anzufragen</t>
        </is>
      </c>
    </row>
    <row r="37">
      <c r="A37" s="10" t="n">
        <v>35</v>
      </c>
      <c r="B37" s="11" t="inlineStr">
        <is>
          <t>D</t>
        </is>
      </c>
      <c r="C37" s="12" t="inlineStr">
        <is>
          <t>Bad Pyrmont</t>
        </is>
      </c>
      <c r="D37" s="13" t="inlineStr">
        <is>
          <t>Hallo Pyrmont</t>
        </is>
      </c>
      <c r="E37" s="12" t="inlineStr">
        <is>
          <t>Weser-Region Werbeverlag (WRW)</t>
        </is>
      </c>
      <c r="F37" s="10" t="inlineStr">
        <is>
          <t>Anzeigenblatt (gratis)</t>
        </is>
      </c>
      <c r="G37" s="10" t="inlineStr">
        <is>
          <t>wöchentl.</t>
        </is>
      </c>
      <c r="H37" s="14" t="n">
        <v>17459</v>
      </c>
      <c r="I37" s="15" t="inlineStr">
        <is>
          <t>Preisliste Nr.29, 2020</t>
        </is>
      </c>
      <c r="J37" s="12" t="inlineStr">
        <is>
          <t>Bad Pyrmont + Umland</t>
        </is>
      </c>
      <c r="K37" s="16" t="inlineStr">
        <is>
          <t>hallo-hameln-pyrmont.de</t>
        </is>
      </c>
      <c r="L37" s="17" t="n"/>
      <c r="M37" s="17" t="n"/>
      <c r="N37" s="17" t="n"/>
      <c r="O37" s="17" t="n"/>
      <c r="P37" s="17" t="n"/>
      <c r="Q37" s="17" t="n"/>
      <c r="R37" s="18">
        <f>IFERROR(Q37/H37*1000,"")</f>
        <v/>
      </c>
      <c r="S37" s="19" t="inlineStr">
        <is>
          <t>anzufragen</t>
        </is>
      </c>
      <c r="T37" s="11" t="inlineStr">
        <is>
          <t>Ja</t>
        </is>
      </c>
      <c r="U37" s="11" t="inlineStr">
        <is>
          <t>?</t>
        </is>
      </c>
      <c r="V37" s="20" t="inlineStr">
        <is>
          <t>anzeigen@wrw-hameln.de · 05151 5788-0</t>
        </is>
      </c>
      <c r="W37" s="19" t="inlineStr">
        <is>
          <t>anzufragen</t>
        </is>
      </c>
    </row>
    <row r="38">
      <c r="A38" s="10" t="n">
        <v>36</v>
      </c>
      <c r="B38" s="11" t="inlineStr">
        <is>
          <t>D</t>
        </is>
      </c>
      <c r="C38" s="12" t="inlineStr">
        <is>
          <t>Rinteln; Bad Nenndorf</t>
        </is>
      </c>
      <c r="D38" s="13" t="inlineStr">
        <is>
          <t>Schaumburger Zeitung / SL Landes-Ztg (SZ/LZ)</t>
        </is>
      </c>
      <c r="E38" s="12" t="inlineStr">
        <is>
          <t>C. Bösendahl (RND/Madsack)</t>
        </is>
      </c>
      <c r="F38" s="10" t="inlineStr">
        <is>
          <t>Tageszeitung</t>
        </is>
      </c>
      <c r="G38" s="10" t="inlineStr">
        <is>
          <t>Mo–Sa</t>
        </is>
      </c>
      <c r="H38" s="14" t="n">
        <v>9225</v>
      </c>
      <c r="I38" s="15" t="inlineStr">
        <is>
          <t>SZ 6.100 + LZ 3.125 (Mediad. 2026)</t>
        </is>
      </c>
      <c r="J38" s="12" t="inlineStr">
        <is>
          <t>südl. Lkr Schaumburg; Sitz Rinteln</t>
        </is>
      </c>
      <c r="K38" s="16" t="inlineStr">
        <is>
          <t>szlz.de/anzeigen/mediadaten.html</t>
        </is>
      </c>
      <c r="L38" s="17" t="n"/>
      <c r="M38" s="17" t="n"/>
      <c r="N38" s="17" t="n"/>
      <c r="O38" s="17" t="n"/>
      <c r="P38" s="17" t="n"/>
      <c r="Q38" s="17" t="n"/>
      <c r="R38" s="18">
        <f>IFERROR(Q38/H38*1000,"")</f>
        <v/>
      </c>
      <c r="S38" s="19" t="inlineStr">
        <is>
          <t>anzufragen</t>
        </is>
      </c>
      <c r="T38" s="11" t="inlineStr">
        <is>
          <t>?</t>
        </is>
      </c>
      <c r="U38" s="11" t="inlineStr">
        <is>
          <t>Ja</t>
        </is>
      </c>
      <c r="V38" s="20" t="inlineStr">
        <is>
          <t>anzeigen@szlz.de · 05751 4000-0</t>
        </is>
      </c>
      <c r="W38" s="19" t="inlineStr">
        <is>
          <t>anzufragen</t>
        </is>
      </c>
    </row>
    <row r="39">
      <c r="A39" s="10" t="n">
        <v>37</v>
      </c>
      <c r="B39" s="11" t="inlineStr">
        <is>
          <t>D</t>
        </is>
      </c>
      <c r="C39" s="12" t="inlineStr">
        <is>
          <t>Rinteln; Bad Nenndorf</t>
        </is>
      </c>
      <c r="D39" s="13" t="inlineStr">
        <is>
          <t>Schaumburger Wochenblatt</t>
        </is>
      </c>
      <c r="E39" s="12" t="inlineStr">
        <is>
          <t>Oppermann Druck+Verlag</t>
        </is>
      </c>
      <c r="F39" s="10" t="inlineStr">
        <is>
          <t>Anzeigenblatt (gratis)</t>
        </is>
      </c>
      <c r="G39" s="10" t="inlineStr">
        <is>
          <t>wöchentl. Sa</t>
        </is>
      </c>
      <c r="H39" s="14" t="n">
        <v>99040</v>
      </c>
      <c r="I39" s="15" t="inlineStr">
        <is>
          <t>alle HH Lkr Schaumburg</t>
        </is>
      </c>
      <c r="J39" s="12" t="inlineStr">
        <is>
          <t>Rinteln/Bückeburg/Bad Nenndorf u.a.</t>
        </is>
      </c>
      <c r="K39" s="16" t="inlineStr">
        <is>
          <t>schaumburger-wochenblatt.de</t>
        </is>
      </c>
      <c r="L39" s="17" t="n"/>
      <c r="M39" s="17" t="n"/>
      <c r="N39" s="17" t="n"/>
      <c r="O39" s="17" t="n"/>
      <c r="P39" s="17" t="n"/>
      <c r="Q39" s="17" t="n"/>
      <c r="R39" s="18">
        <f>IFERROR(Q39/H39*1000,"")</f>
        <v/>
      </c>
      <c r="S39" s="19" t="inlineStr">
        <is>
          <t>anzufragen</t>
        </is>
      </c>
      <c r="T39" s="11" t="inlineStr">
        <is>
          <t>?</t>
        </is>
      </c>
      <c r="U39" s="11" t="inlineStr">
        <is>
          <t>?</t>
        </is>
      </c>
      <c r="V39" s="20" t="inlineStr">
        <is>
          <t>sw.info@schaumburger-wochenblatt.de · 05723 700-0</t>
        </is>
      </c>
      <c r="W39" s="19" t="inlineStr">
        <is>
          <t>anzufragen</t>
        </is>
      </c>
    </row>
    <row r="40">
      <c r="A40" s="10" t="n">
        <v>38</v>
      </c>
      <c r="B40" s="11" t="inlineStr">
        <is>
          <t>D</t>
        </is>
      </c>
      <c r="C40" s="12" t="inlineStr">
        <is>
          <t>Rinteln; Bad Nenndorf</t>
        </is>
      </c>
      <c r="D40" s="13" t="inlineStr">
        <is>
          <t>Schaumburger Nachrichten</t>
        </is>
      </c>
      <c r="E40" s="12" t="inlineStr">
        <is>
          <t>SN Verlagsges. (Madsack 80%)</t>
        </is>
      </c>
      <c r="F40" s="10" t="inlineStr">
        <is>
          <t>Tageszeitung</t>
        </is>
      </c>
      <c r="G40" s="10" t="inlineStr">
        <is>
          <t>Mo–Sa</t>
        </is>
      </c>
      <c r="H40" s="14" t="n">
        <v>9364</v>
      </c>
      <c r="I40" s="15" t="inlineStr">
        <is>
          <t>verk.; Bad Nenndorf Lokalztg</t>
        </is>
      </c>
      <c r="J40" s="12" t="inlineStr">
        <is>
          <t>Lkr Schaumburg</t>
        </is>
      </c>
      <c r="K40" s="16" t="inlineStr">
        <is>
          <t>madsack.de</t>
        </is>
      </c>
      <c r="L40" s="17" t="n"/>
      <c r="M40" s="17" t="n"/>
      <c r="N40" s="17" t="n"/>
      <c r="O40" s="17" t="n"/>
      <c r="P40" s="17" t="n"/>
      <c r="Q40" s="17" t="n"/>
      <c r="R40" s="18">
        <f>IFERROR(Q40/H40*1000,"")</f>
        <v/>
      </c>
      <c r="S40" s="19" t="inlineStr">
        <is>
          <t>anzufragen</t>
        </is>
      </c>
      <c r="T40" s="11" t="inlineStr">
        <is>
          <t>?</t>
        </is>
      </c>
      <c r="U40" s="11" t="inlineStr">
        <is>
          <t>Ja</t>
        </is>
      </c>
      <c r="V40" s="20" t="inlineStr">
        <is>
          <t>Madsack Media / SN Stadthagen</t>
        </is>
      </c>
      <c r="W40" s="19" t="inlineStr">
        <is>
          <t>anzufragen</t>
        </is>
      </c>
    </row>
    <row r="41">
      <c r="A41" s="10" t="n">
        <v>39</v>
      </c>
      <c r="B41" s="11" t="inlineStr">
        <is>
          <t>D</t>
        </is>
      </c>
      <c r="C41" s="12" t="inlineStr">
        <is>
          <t>Bad Oeynhausen</t>
        </is>
      </c>
      <c r="D41" s="13" t="inlineStr">
        <is>
          <t>Neue Westfälische (Bad Oeynhausen)</t>
        </is>
      </c>
      <c r="E41" s="12" t="inlineStr">
        <is>
          <t>Zeitungsgruppe NW</t>
        </is>
      </c>
      <c r="F41" s="10" t="inlineStr">
        <is>
          <t>Tageszeitung</t>
        </is>
      </c>
      <c r="G41" s="10" t="inlineStr">
        <is>
          <t>Mo–Sa</t>
        </is>
      </c>
      <c r="H41" s="14" t="n">
        <v>197619</v>
      </c>
      <c r="I41" s="15" t="inlineStr">
        <is>
          <t>Gruppe (16 Lokalausg.); Split n/a</t>
        </is>
      </c>
      <c r="J41" s="12" t="inlineStr">
        <is>
          <t>Lokalausg. Bad Oeynhausen</t>
        </is>
      </c>
      <c r="K41" s="16" t="inlineStr">
        <is>
          <t>nw.de/anzeigen</t>
        </is>
      </c>
      <c r="L41" s="17" t="n"/>
      <c r="M41" s="17" t="n"/>
      <c r="N41" s="17" t="n"/>
      <c r="O41" s="17" t="n"/>
      <c r="P41" s="17" t="n"/>
      <c r="Q41" s="17" t="n"/>
      <c r="R41" s="18">
        <f>IFERROR(Q41/H41*1000,"")</f>
        <v/>
      </c>
      <c r="S41" s="19" t="inlineStr">
        <is>
          <t>anzufragen</t>
        </is>
      </c>
      <c r="T41" s="11" t="inlineStr">
        <is>
          <t>?</t>
        </is>
      </c>
      <c r="U41" s="11" t="inlineStr">
        <is>
          <t>Ja</t>
        </is>
      </c>
      <c r="V41" s="20" t="inlineStr">
        <is>
          <t>Geschäftsst. 05731 24000 · Tarif 60 (NW+LZ)</t>
        </is>
      </c>
      <c r="W41" s="19" t="inlineStr">
        <is>
          <t>anzufragen</t>
        </is>
      </c>
    </row>
    <row r="42">
      <c r="A42" s="10" t="n">
        <v>40</v>
      </c>
      <c r="B42" s="11" t="inlineStr">
        <is>
          <t>D</t>
        </is>
      </c>
      <c r="C42" s="12" t="inlineStr">
        <is>
          <t>Bad Oeynhausen</t>
        </is>
      </c>
      <c r="D42" s="13" t="inlineStr">
        <is>
          <t>Westfalen-Blatt (Bad Oeynhausen)</t>
        </is>
      </c>
      <c r="E42" s="12" t="inlineStr">
        <is>
          <t>Westfalen-Blatt / OWL Media Solutions</t>
        </is>
      </c>
      <c r="F42" s="10" t="inlineStr">
        <is>
          <t>Tageszeitung</t>
        </is>
      </c>
      <c r="G42" s="10" t="inlineStr">
        <is>
          <t>Mo–Sa</t>
        </is>
      </c>
      <c r="H42" s="14" t="n"/>
      <c r="I42" s="15" t="inlineStr">
        <is>
          <t>Lokalsplit n/a</t>
        </is>
      </c>
      <c r="J42" s="12" t="inlineStr">
        <is>
          <t>Lokalausg. Bad Oeynhausen (+Löhne)</t>
        </is>
      </c>
      <c r="K42" s="16" t="inlineStr">
        <is>
          <t>westfalen-blatt.de/verlag/anzeigen</t>
        </is>
      </c>
      <c r="L42" s="17" t="n"/>
      <c r="M42" s="17" t="n"/>
      <c r="N42" s="17" t="n"/>
      <c r="O42" s="17" t="n"/>
      <c r="P42" s="17" t="n"/>
      <c r="Q42" s="17" t="n"/>
      <c r="R42" s="18">
        <f>IFERROR(Q42/H42*1000,"")</f>
        <v/>
      </c>
      <c r="S42" s="19" t="inlineStr">
        <is>
          <t>anzufragen</t>
        </is>
      </c>
      <c r="T42" s="11" t="inlineStr">
        <is>
          <t>?</t>
        </is>
      </c>
      <c r="U42" s="11" t="inlineStr">
        <is>
          <t>Ja</t>
        </is>
      </c>
      <c r="V42" s="20" t="inlineStr">
        <is>
          <t>anzeigen@owl-mediasolutions.de · 0521 555-333 · Lokalbüro 05731 251515</t>
        </is>
      </c>
      <c r="W42" s="19" t="inlineStr">
        <is>
          <t>anzufragen</t>
        </is>
      </c>
    </row>
    <row r="43">
      <c r="A43" s="10" t="n">
        <v>41</v>
      </c>
      <c r="B43" s="11" t="inlineStr">
        <is>
          <t>D</t>
        </is>
      </c>
      <c r="C43" s="12" t="inlineStr">
        <is>
          <t>Alverdissen</t>
        </is>
      </c>
      <c r="D43" s="13" t="inlineStr">
        <is>
          <t>Lippische Landes-Zeitung (Barntrup)</t>
        </is>
      </c>
      <c r="E43" s="12" t="inlineStr">
        <is>
          <t>Lippischer Zeitungsverlag Giesdorf</t>
        </is>
      </c>
      <c r="F43" s="10" t="inlineStr">
        <is>
          <t>Tageszeitung</t>
        </is>
      </c>
      <c r="G43" s="10" t="inlineStr">
        <is>
          <t>Mo–Sa</t>
        </is>
      </c>
      <c r="H43" s="14" t="n"/>
      <c r="I43" s="15" t="inlineStr">
        <is>
          <t>Auflage n/a; NW-Verbund</t>
        </is>
      </c>
      <c r="J43" s="12" t="inlineStr">
        <is>
          <t>Barntrup/Alverdissen (Lokalteil)</t>
        </is>
      </c>
      <c r="K43" s="16" t="inlineStr">
        <is>
          <t>lz.de/anzeigen</t>
        </is>
      </c>
      <c r="L43" s="17" t="n"/>
      <c r="M43" s="17" t="n"/>
      <c r="N43" s="17" t="n"/>
      <c r="O43" s="17" t="n"/>
      <c r="P43" s="17" t="n"/>
      <c r="Q43" s="17" t="n"/>
      <c r="R43" s="18">
        <f>IFERROR(Q43/H43*1000,"")</f>
        <v/>
      </c>
      <c r="S43" s="19" t="inlineStr">
        <is>
          <t>anzufragen</t>
        </is>
      </c>
      <c r="T43" s="11" t="inlineStr">
        <is>
          <t>?</t>
        </is>
      </c>
      <c r="U43" s="11" t="inlineStr">
        <is>
          <t>Ja</t>
        </is>
      </c>
      <c r="V43" s="20" t="inlineStr">
        <is>
          <t>lz.de/anzeigen · Tarif 60 (mit NW)</t>
        </is>
      </c>
      <c r="W43" s="19" t="inlineStr">
        <is>
          <t>anzufragen</t>
        </is>
      </c>
    </row>
    <row r="44">
      <c r="A44" s="10" t="n">
        <v>42</v>
      </c>
      <c r="B44" s="11" t="inlineStr">
        <is>
          <t>D</t>
        </is>
      </c>
      <c r="C44" s="12" t="inlineStr">
        <is>
          <t>Alverdissen</t>
        </is>
      </c>
      <c r="D44" s="13" t="inlineStr">
        <is>
          <t>Neue Westfälische (Lippe/Barntrup)</t>
        </is>
      </c>
      <c r="E44" s="12" t="inlineStr">
        <is>
          <t>Zeitungsgruppe NW</t>
        </is>
      </c>
      <c r="F44" s="10" t="inlineStr">
        <is>
          <t>Tageszeitung</t>
        </is>
      </c>
      <c r="G44" s="10" t="inlineStr">
        <is>
          <t>Mo–Sa</t>
        </is>
      </c>
      <c r="H44" s="14" t="n">
        <v>197619</v>
      </c>
      <c r="I44" s="15" t="inlineStr">
        <is>
          <t>Gruppe; Lippe-Split n/a</t>
        </is>
      </c>
      <c r="J44" s="12" t="inlineStr">
        <is>
          <t>NW-Lokalteil Barntrup</t>
        </is>
      </c>
      <c r="K44" s="16" t="inlineStr">
        <is>
          <t>nw.de/anzeigen</t>
        </is>
      </c>
      <c r="L44" s="17" t="n"/>
      <c r="M44" s="17" t="n"/>
      <c r="N44" s="17" t="n"/>
      <c r="O44" s="17" t="n"/>
      <c r="P44" s="17" t="n"/>
      <c r="Q44" s="17" t="n"/>
      <c r="R44" s="18">
        <f>IFERROR(Q44/H44*1000,"")</f>
        <v/>
      </c>
      <c r="S44" s="19" t="inlineStr">
        <is>
          <t>anzufragen</t>
        </is>
      </c>
      <c r="T44" s="11" t="inlineStr">
        <is>
          <t>?</t>
        </is>
      </c>
      <c r="U44" s="11" t="inlineStr">
        <is>
          <t>Ja</t>
        </is>
      </c>
      <c r="V44" s="20" t="inlineStr">
        <is>
          <t>nw.de/anzeigen · Tarif 60</t>
        </is>
      </c>
      <c r="W44" s="19" t="inlineStr">
        <is>
          <t>anzufragen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10" customWidth="1" min="9" max="9"/>
    <col width="8" customWidth="1" min="10" max="10"/>
  </cols>
  <sheetData>
    <row r="1">
      <c r="A1" s="8" t="inlineStr">
        <is>
          <t>SCORING – Bewertung 1–5 je Titel · gewichteter Gesamtscore · Rangliste je Cluster</t>
        </is>
      </c>
    </row>
    <row r="2">
      <c r="A2" s="5" t="inlineStr">
        <is>
          <t>Gewichte:</t>
        </is>
      </c>
      <c r="B2" s="21" t="inlineStr">
        <is>
          <t>→ 1–5, Summe Gew. =100%</t>
        </is>
      </c>
    </row>
    <row r="3">
      <c r="B3" s="22" t="inlineStr">
        <is>
          <t>Gewicht:</t>
        </is>
      </c>
      <c r="C3" s="23" t="n">
        <v>0.25</v>
      </c>
      <c r="D3" s="23" t="n">
        <v>0.25</v>
      </c>
      <c r="E3" s="23" t="n">
        <v>0.2</v>
      </c>
      <c r="F3" s="23" t="n">
        <v>0.15</v>
      </c>
      <c r="G3" s="23" t="n">
        <v>0.15</v>
      </c>
      <c r="H3" s="24">
        <f>SUM(C3:G3)</f>
        <v/>
      </c>
    </row>
    <row r="4" ht="32" customHeight="1">
      <c r="A4" s="9" t="inlineStr">
        <is>
          <t>ID</t>
        </is>
      </c>
      <c r="B4" s="9" t="inlineStr">
        <is>
          <t>Titel</t>
        </is>
      </c>
      <c r="C4" s="9" t="inlineStr">
        <is>
          <t>TKP-Score</t>
        </is>
      </c>
      <c r="D4" s="9" t="inlineStr">
        <is>
          <t>Ziel-
gruppe 60+</t>
        </is>
      </c>
      <c r="E4" s="9" t="inlineStr">
        <is>
          <t>Geo-
Deckung</t>
        </is>
      </c>
      <c r="F4" s="9" t="inlineStr">
        <is>
          <t>Preis-
Leistung</t>
        </is>
      </c>
      <c r="G4" s="9" t="inlineStr">
        <is>
          <t>Verhand-
lung</t>
        </is>
      </c>
      <c r="H4" s="9" t="inlineStr">
        <is>
          <t>Gewichteter
Score</t>
        </is>
      </c>
      <c r="I4" s="9" t="inlineStr">
        <is>
          <t>Cluster</t>
        </is>
      </c>
      <c r="J4" s="9" t="inlineStr">
        <is>
          <t>Rang
(Cluster)</t>
        </is>
      </c>
    </row>
    <row r="5">
      <c r="A5" s="10" t="n">
        <v>1</v>
      </c>
      <c r="B5" s="12" t="inlineStr">
        <is>
          <t>Rheinische Post (Lok. Düsseldorf)</t>
        </is>
      </c>
      <c r="C5" s="25" t="n">
        <v>3</v>
      </c>
      <c r="D5" s="26" t="n">
        <v>3</v>
      </c>
      <c r="E5" s="26" t="n">
        <v>4</v>
      </c>
      <c r="F5" s="25" t="n">
        <v>3</v>
      </c>
      <c r="G5" s="26" t="n">
        <v>4</v>
      </c>
      <c r="H5" s="27">
        <f>C5*$C$3+D5*$D$3+E5*$E$3+F5*$F$3+G5*$G$3</f>
        <v/>
      </c>
      <c r="I5" s="11" t="inlineStr">
        <is>
          <t>A</t>
        </is>
      </c>
      <c r="J5" s="28">
        <f>SUMPRODUCT(($I$5:$I$46=I5)*($H$5:$H$46&gt;H5))+1</f>
        <v/>
      </c>
    </row>
    <row r="6">
      <c r="A6" s="10" t="n">
        <v>2</v>
      </c>
      <c r="B6" s="12" t="inlineStr">
        <is>
          <t>Düsseldorfer Anzeiger</t>
        </is>
      </c>
      <c r="C6" s="25" t="n">
        <v>3</v>
      </c>
      <c r="D6" s="26" t="n">
        <v>5</v>
      </c>
      <c r="E6" s="26" t="n">
        <v>5</v>
      </c>
      <c r="F6" s="25" t="n">
        <v>3</v>
      </c>
      <c r="G6" s="26" t="n">
        <v>3</v>
      </c>
      <c r="H6" s="27">
        <f>C6*$C$3+D6*$D$3+E6*$E$3+F6*$F$3+G6*$G$3</f>
        <v/>
      </c>
      <c r="I6" s="11" t="inlineStr">
        <is>
          <t>A</t>
        </is>
      </c>
      <c r="J6" s="28">
        <f>SUMPRODUCT(($I$5:$I$46=I6)*($H$5:$H$46&gt;H6))+1</f>
        <v/>
      </c>
    </row>
    <row r="7">
      <c r="A7" s="10" t="n">
        <v>3</v>
      </c>
      <c r="B7" s="12" t="inlineStr">
        <is>
          <t>Westdeutsche Zeitung (WZ)</t>
        </is>
      </c>
      <c r="C7" s="25" t="n">
        <v>3</v>
      </c>
      <c r="D7" s="26" t="n">
        <v>3</v>
      </c>
      <c r="E7" s="26" t="n">
        <v>3</v>
      </c>
      <c r="F7" s="25" t="n">
        <v>3</v>
      </c>
      <c r="G7" s="26" t="n">
        <v>3</v>
      </c>
      <c r="H7" s="27">
        <f>C7*$C$3+D7*$D$3+E7*$E$3+F7*$F$3+G7*$G$3</f>
        <v/>
      </c>
      <c r="I7" s="11" t="inlineStr">
        <is>
          <t>A</t>
        </is>
      </c>
      <c r="J7" s="28">
        <f>SUMPRODUCT(($I$5:$I$46=I7)*($H$5:$H$46&gt;H7))+1</f>
        <v/>
      </c>
    </row>
    <row r="8">
      <c r="A8" s="10" t="n">
        <v>4</v>
      </c>
      <c r="B8" s="12" t="inlineStr">
        <is>
          <t>Kirchenzeitung Erzbistum Köln</t>
        </is>
      </c>
      <c r="C8" s="25" t="n">
        <v>3</v>
      </c>
      <c r="D8" s="26" t="n">
        <v>4</v>
      </c>
      <c r="E8" s="26" t="n">
        <v>2</v>
      </c>
      <c r="F8" s="25" t="n">
        <v>3</v>
      </c>
      <c r="G8" s="26" t="n">
        <v>3</v>
      </c>
      <c r="H8" s="27">
        <f>C8*$C$3+D8*$D$3+E8*$E$3+F8*$F$3+G8*$G$3</f>
        <v/>
      </c>
      <c r="I8" s="11" t="inlineStr">
        <is>
          <t>A</t>
        </is>
      </c>
      <c r="J8" s="28">
        <f>SUMPRODUCT(($I$5:$I$46=I8)*($H$5:$H$46&gt;H8))+1</f>
        <v/>
      </c>
    </row>
    <row r="9">
      <c r="A9" s="10" t="n">
        <v>5</v>
      </c>
      <c r="B9" s="12" t="inlineStr">
        <is>
          <t>WAZ + NRZ (Lok. Duisburg)</t>
        </is>
      </c>
      <c r="C9" s="25" t="n">
        <v>3</v>
      </c>
      <c r="D9" s="26" t="n">
        <v>3</v>
      </c>
      <c r="E9" s="26" t="n">
        <v>4</v>
      </c>
      <c r="F9" s="25" t="n">
        <v>3</v>
      </c>
      <c r="G9" s="26" t="n">
        <v>5</v>
      </c>
      <c r="H9" s="27">
        <f>C9*$C$3+D9*$D$3+E9*$E$3+F9*$F$3+G9*$G$3</f>
        <v/>
      </c>
      <c r="I9" s="11" t="inlineStr">
        <is>
          <t>A</t>
        </is>
      </c>
      <c r="J9" s="28">
        <f>SUMPRODUCT(($I$5:$I$46=I9)*($H$5:$H$46&gt;H9))+1</f>
        <v/>
      </c>
    </row>
    <row r="10">
      <c r="A10" s="10" t="n">
        <v>6</v>
      </c>
      <c r="B10" s="12" t="inlineStr">
        <is>
          <t>Wochen-Anzeiger Duisburg</t>
        </is>
      </c>
      <c r="C10" s="25" t="n">
        <v>3</v>
      </c>
      <c r="D10" s="26" t="n">
        <v>5</v>
      </c>
      <c r="E10" s="26" t="n">
        <v>5</v>
      </c>
      <c r="F10" s="25" t="n">
        <v>3</v>
      </c>
      <c r="G10" s="26" t="n">
        <v>5</v>
      </c>
      <c r="H10" s="27">
        <f>C10*$C$3+D10*$D$3+E10*$E$3+F10*$F$3+G10*$G$3</f>
        <v/>
      </c>
      <c r="I10" s="11" t="inlineStr">
        <is>
          <t>A</t>
        </is>
      </c>
      <c r="J10" s="28">
        <f>SUMPRODUCT(($I$5:$I$46=I10)*($H$5:$H$46&gt;H10))+1</f>
        <v/>
      </c>
    </row>
    <row r="11">
      <c r="A11" s="10" t="n">
        <v>7</v>
      </c>
      <c r="B11" s="12" t="inlineStr">
        <is>
          <t>Extra-Tipp am Sonntag (Moers/DU-West)</t>
        </is>
      </c>
      <c r="C11" s="25" t="n">
        <v>3</v>
      </c>
      <c r="D11" s="26" t="n">
        <v>4</v>
      </c>
      <c r="E11" s="26" t="n">
        <v>3</v>
      </c>
      <c r="F11" s="25" t="n">
        <v>3</v>
      </c>
      <c r="G11" s="26" t="n">
        <v>3</v>
      </c>
      <c r="H11" s="27">
        <f>C11*$C$3+D11*$D$3+E11*$E$3+F11*$F$3+G11*$G$3</f>
        <v/>
      </c>
      <c r="I11" s="11" t="inlineStr">
        <is>
          <t>A</t>
        </is>
      </c>
      <c r="J11" s="28">
        <f>SUMPRODUCT(($I$5:$I$46=I11)*($H$5:$H$46&gt;H11))+1</f>
        <v/>
      </c>
    </row>
    <row r="12">
      <c r="A12" s="10" t="n">
        <v>8</v>
      </c>
      <c r="B12" s="12" t="inlineStr">
        <is>
          <t>BENE (Magazin Bistum Essen)</t>
        </is>
      </c>
      <c r="C12" s="25" t="n">
        <v>3</v>
      </c>
      <c r="D12" s="26" t="n">
        <v>4</v>
      </c>
      <c r="E12" s="26" t="n">
        <v>3</v>
      </c>
      <c r="F12" s="25" t="n">
        <v>3</v>
      </c>
      <c r="G12" s="26" t="n">
        <v>3</v>
      </c>
      <c r="H12" s="27">
        <f>C12*$C$3+D12*$D$3+E12*$E$3+F12*$F$3+G12*$G$3</f>
        <v/>
      </c>
      <c r="I12" s="11" t="inlineStr">
        <is>
          <t>A</t>
        </is>
      </c>
      <c r="J12" s="28">
        <f>SUMPRODUCT(($I$5:$I$46=I12)*($H$5:$H$46&gt;H12))+1</f>
        <v/>
      </c>
    </row>
    <row r="13">
      <c r="A13" s="10" t="n">
        <v>9</v>
      </c>
      <c r="B13" s="12" t="inlineStr">
        <is>
          <t>WAZ (Lok. Velbert/Niederberg)</t>
        </is>
      </c>
      <c r="C13" s="25" t="n">
        <v>3</v>
      </c>
      <c r="D13" s="26" t="n">
        <v>3</v>
      </c>
      <c r="E13" s="26" t="n">
        <v>4</v>
      </c>
      <c r="F13" s="25" t="n">
        <v>3</v>
      </c>
      <c r="G13" s="26" t="n">
        <v>5</v>
      </c>
      <c r="H13" s="27">
        <f>C13*$C$3+D13*$D$3+E13*$E$3+F13*$F$3+G13*$G$3</f>
        <v/>
      </c>
      <c r="I13" s="11" t="inlineStr">
        <is>
          <t>A</t>
        </is>
      </c>
      <c r="J13" s="28">
        <f>SUMPRODUCT(($I$5:$I$46=I13)*($H$5:$H$46&gt;H13))+1</f>
        <v/>
      </c>
    </row>
    <row r="14">
      <c r="A14" s="10" t="n">
        <v>10</v>
      </c>
      <c r="B14" s="12" t="inlineStr">
        <is>
          <t>Stadtanzeiger Niederberg</t>
        </is>
      </c>
      <c r="C14" s="25" t="n">
        <v>3</v>
      </c>
      <c r="D14" s="26" t="n">
        <v>5</v>
      </c>
      <c r="E14" s="26" t="n">
        <v>5</v>
      </c>
      <c r="F14" s="25" t="n">
        <v>3</v>
      </c>
      <c r="G14" s="26" t="n">
        <v>5</v>
      </c>
      <c r="H14" s="27">
        <f>C14*$C$3+D14*$D$3+E14*$E$3+F14*$F$3+G14*$G$3</f>
        <v/>
      </c>
      <c r="I14" s="11" t="inlineStr">
        <is>
          <t>A</t>
        </is>
      </c>
      <c r="J14" s="28">
        <f>SUMPRODUCT(($I$5:$I$46=I14)*($H$5:$H$46&gt;H14))+1</f>
        <v/>
      </c>
    </row>
    <row r="15">
      <c r="A15" s="10" t="n">
        <v>11</v>
      </c>
      <c r="B15" s="12" t="inlineStr">
        <is>
          <t>Super Tipp</t>
        </is>
      </c>
      <c r="C15" s="25" t="n">
        <v>3</v>
      </c>
      <c r="D15" s="26" t="n">
        <v>5</v>
      </c>
      <c r="E15" s="26" t="n">
        <v>4</v>
      </c>
      <c r="F15" s="25" t="n">
        <v>3</v>
      </c>
      <c r="G15" s="26" t="n">
        <v>3</v>
      </c>
      <c r="H15" s="27">
        <f>C15*$C$3+D15*$D$3+E15*$E$3+F15*$F$3+G15*$G$3</f>
        <v/>
      </c>
      <c r="I15" s="11" t="inlineStr">
        <is>
          <t>A</t>
        </is>
      </c>
      <c r="J15" s="28">
        <f>SUMPRODUCT(($I$5:$I$46=I15)*($H$5:$H$46&gt;H15))+1</f>
        <v/>
      </c>
    </row>
    <row r="16">
      <c r="A16" s="10" t="n">
        <v>12</v>
      </c>
      <c r="B16" s="12" t="inlineStr">
        <is>
          <t>Westdeutsche Zeitung (Velbert)</t>
        </is>
      </c>
      <c r="C16" s="25" t="n">
        <v>3</v>
      </c>
      <c r="D16" s="26" t="n">
        <v>3</v>
      </c>
      <c r="E16" s="26" t="n">
        <v>4</v>
      </c>
      <c r="F16" s="25" t="n">
        <v>3</v>
      </c>
      <c r="G16" s="26" t="n">
        <v>3</v>
      </c>
      <c r="H16" s="27">
        <f>C16*$C$3+D16*$D$3+E16*$E$3+F16*$F$3+G16*$G$3</f>
        <v/>
      </c>
      <c r="I16" s="11" t="inlineStr">
        <is>
          <t>A</t>
        </is>
      </c>
      <c r="J16" s="28">
        <f>SUMPRODUCT(($I$5:$I$46=I16)*($H$5:$H$46&gt;H16))+1</f>
        <v/>
      </c>
    </row>
    <row r="17">
      <c r="A17" s="10" t="n">
        <v>13</v>
      </c>
      <c r="B17" s="12" t="inlineStr">
        <is>
          <t>Werbepost (Kerpen/Nörvenich)</t>
        </is>
      </c>
      <c r="C17" s="25" t="n">
        <v>3</v>
      </c>
      <c r="D17" s="26" t="n">
        <v>5</v>
      </c>
      <c r="E17" s="26" t="n">
        <v>5</v>
      </c>
      <c r="F17" s="25" t="n">
        <v>3</v>
      </c>
      <c r="G17" s="26" t="n">
        <v>4</v>
      </c>
      <c r="H17" s="27">
        <f>C17*$C$3+D17*$D$3+E17*$E$3+F17*$F$3+G17*$G$3</f>
        <v/>
      </c>
      <c r="I17" s="11" t="inlineStr">
        <is>
          <t>A</t>
        </is>
      </c>
      <c r="J17" s="28">
        <f>SUMPRODUCT(($I$5:$I$46=I17)*($H$5:$H$46&gt;H17))+1</f>
        <v/>
      </c>
    </row>
    <row r="18">
      <c r="A18" s="10" t="n">
        <v>14</v>
      </c>
      <c r="B18" s="12" t="inlineStr">
        <is>
          <t>Sonntags-Post (Kerpen)</t>
        </is>
      </c>
      <c r="C18" s="25" t="n">
        <v>3</v>
      </c>
      <c r="D18" s="26" t="n">
        <v>5</v>
      </c>
      <c r="E18" s="26" t="n">
        <v>4</v>
      </c>
      <c r="F18" s="25" t="n">
        <v>3</v>
      </c>
      <c r="G18" s="26" t="n">
        <v>4</v>
      </c>
      <c r="H18" s="27">
        <f>C18*$C$3+D18*$D$3+E18*$E$3+F18*$F$3+G18*$G$3</f>
        <v/>
      </c>
      <c r="I18" s="11" t="inlineStr">
        <is>
          <t>A</t>
        </is>
      </c>
      <c r="J18" s="28">
        <f>SUMPRODUCT(($I$5:$I$46=I18)*($H$5:$H$46&gt;H18))+1</f>
        <v/>
      </c>
    </row>
    <row r="19">
      <c r="A19" s="10" t="n">
        <v>15</v>
      </c>
      <c r="B19" s="12" t="inlineStr">
        <is>
          <t>Kölner Stadt-Anzeiger (Rhein-Erft)</t>
        </is>
      </c>
      <c r="C19" s="25" t="n">
        <v>3</v>
      </c>
      <c r="D19" s="26" t="n">
        <v>3</v>
      </c>
      <c r="E19" s="26" t="n">
        <v>4</v>
      </c>
      <c r="F19" s="25" t="n">
        <v>3</v>
      </c>
      <c r="G19" s="26" t="n">
        <v>3</v>
      </c>
      <c r="H19" s="27">
        <f>C19*$C$3+D19*$D$3+E19*$E$3+F19*$F$3+G19*$G$3</f>
        <v/>
      </c>
      <c r="I19" s="11" t="inlineStr">
        <is>
          <t>A</t>
        </is>
      </c>
      <c r="J19" s="28">
        <f>SUMPRODUCT(($I$5:$I$46=I19)*($H$5:$H$46&gt;H19))+1</f>
        <v/>
      </c>
    </row>
    <row r="20">
      <c r="A20" s="10" t="n">
        <v>16</v>
      </c>
      <c r="B20" s="12" t="inlineStr">
        <is>
          <t>Kölnische Rundschau (Rhein-Erft)</t>
        </is>
      </c>
      <c r="C20" s="25" t="n">
        <v>3</v>
      </c>
      <c r="D20" s="26" t="n">
        <v>3</v>
      </c>
      <c r="E20" s="26" t="n">
        <v>4</v>
      </c>
      <c r="F20" s="25" t="n">
        <v>3</v>
      </c>
      <c r="G20" s="26" t="n">
        <v>3</v>
      </c>
      <c r="H20" s="27">
        <f>C20*$C$3+D20*$D$3+E20*$E$3+F20*$F$3+G20*$G$3</f>
        <v/>
      </c>
      <c r="I20" s="11" t="inlineStr">
        <is>
          <t>A</t>
        </is>
      </c>
      <c r="J20" s="28">
        <f>SUMPRODUCT(($I$5:$I$46=I20)*($H$5:$H$46&gt;H20))+1</f>
        <v/>
      </c>
    </row>
    <row r="21">
      <c r="A21" s="10" t="n">
        <v>17</v>
      </c>
      <c r="B21" s="12" t="inlineStr">
        <is>
          <t>Dorstener Zeitung</t>
        </is>
      </c>
      <c r="C21" s="25" t="n">
        <v>3</v>
      </c>
      <c r="D21" s="26" t="n">
        <v>3</v>
      </c>
      <c r="E21" s="26" t="n">
        <v>5</v>
      </c>
      <c r="F21" s="25" t="n">
        <v>3</v>
      </c>
      <c r="G21" s="26" t="n">
        <v>3</v>
      </c>
      <c r="H21" s="27">
        <f>C21*$C$3+D21*$D$3+E21*$E$3+F21*$F$3+G21*$G$3</f>
        <v/>
      </c>
      <c r="I21" s="11" t="inlineStr">
        <is>
          <t>B</t>
        </is>
      </c>
      <c r="J21" s="28">
        <f>SUMPRODUCT(($I$5:$I$46=I21)*($H$5:$H$46&gt;H21))+1</f>
        <v/>
      </c>
    </row>
    <row r="22">
      <c r="A22" s="10" t="n">
        <v>18</v>
      </c>
      <c r="B22" s="12" t="inlineStr">
        <is>
          <t>Stadtspiegel Dorsten (&amp; Haltern)</t>
        </is>
      </c>
      <c r="C22" s="25" t="n">
        <v>3</v>
      </c>
      <c r="D22" s="26" t="n">
        <v>5</v>
      </c>
      <c r="E22" s="26" t="n">
        <v>5</v>
      </c>
      <c r="F22" s="25" t="n">
        <v>3</v>
      </c>
      <c r="G22" s="26" t="n">
        <v>3</v>
      </c>
      <c r="H22" s="27">
        <f>C22*$C$3+D22*$D$3+E22*$E$3+F22*$F$3+G22*$G$3</f>
        <v/>
      </c>
      <c r="I22" s="11" t="inlineStr">
        <is>
          <t>B</t>
        </is>
      </c>
      <c r="J22" s="28">
        <f>SUMPRODUCT(($I$5:$I$46=I22)*($H$5:$H$46&gt;H22))+1</f>
        <v/>
      </c>
    </row>
    <row r="23">
      <c r="A23" s="10" t="n">
        <v>19</v>
      </c>
      <c r="B23" s="12" t="inlineStr">
        <is>
          <t>Kirche+Leben (Bistum Münster)</t>
        </is>
      </c>
      <c r="C23" s="25" t="n">
        <v>3</v>
      </c>
      <c r="D23" s="26" t="n">
        <v>4</v>
      </c>
      <c r="E23" s="26" t="n">
        <v>2</v>
      </c>
      <c r="F23" s="25" t="n">
        <v>3</v>
      </c>
      <c r="G23" s="26" t="n">
        <v>3</v>
      </c>
      <c r="H23" s="27">
        <f>C23*$C$3+D23*$D$3+E23*$E$3+F23*$F$3+G23*$G$3</f>
        <v/>
      </c>
      <c r="I23" s="11" t="inlineStr">
        <is>
          <t>B</t>
        </is>
      </c>
      <c r="J23" s="28">
        <f>SUMPRODUCT(($I$5:$I$46=I23)*($H$5:$H$46&gt;H23))+1</f>
        <v/>
      </c>
    </row>
    <row r="24">
      <c r="A24" s="10" t="n">
        <v>20</v>
      </c>
      <c r="B24" s="12" t="inlineStr">
        <is>
          <t>Westfalenpost (EN-Süd)</t>
        </is>
      </c>
      <c r="C24" s="25" t="n">
        <v>3</v>
      </c>
      <c r="D24" s="26" t="n">
        <v>3</v>
      </c>
      <c r="E24" s="26" t="n">
        <v>4</v>
      </c>
      <c r="F24" s="25" t="n">
        <v>3</v>
      </c>
      <c r="G24" s="26" t="n">
        <v>5</v>
      </c>
      <c r="H24" s="27">
        <f>C24*$C$3+D24*$D$3+E24*$E$3+F24*$F$3+G24*$G$3</f>
        <v/>
      </c>
      <c r="I24" s="11" t="inlineStr">
        <is>
          <t>B</t>
        </is>
      </c>
      <c r="J24" s="28">
        <f>SUMPRODUCT(($I$5:$I$46=I24)*($H$5:$H$46&gt;H24))+1</f>
        <v/>
      </c>
    </row>
    <row r="25">
      <c r="A25" s="10" t="n">
        <v>21</v>
      </c>
      <c r="B25" s="12" t="inlineStr">
        <is>
          <t>WAP – Wochenblatt Schwelm·Ennepetal·Gevelsberg</t>
        </is>
      </c>
      <c r="C25" s="25" t="n">
        <v>3</v>
      </c>
      <c r="D25" s="26" t="n">
        <v>5</v>
      </c>
      <c r="E25" s="26" t="n">
        <v>5</v>
      </c>
      <c r="F25" s="25" t="n">
        <v>3</v>
      </c>
      <c r="G25" s="26" t="n">
        <v>5</v>
      </c>
      <c r="H25" s="27">
        <f>C25*$C$3+D25*$D$3+E25*$E$3+F25*$F$3+G25*$G$3</f>
        <v/>
      </c>
      <c r="I25" s="11" t="inlineStr">
        <is>
          <t>B</t>
        </is>
      </c>
      <c r="J25" s="28">
        <f>SUMPRODUCT(($I$5:$I$46=I25)*($H$5:$H$46&gt;H25))+1</f>
        <v/>
      </c>
    </row>
    <row r="26">
      <c r="A26" s="10" t="n">
        <v>22</v>
      </c>
      <c r="B26" s="12" t="inlineStr">
        <is>
          <t>WochenKurier Ennepe-Ruhr</t>
        </is>
      </c>
      <c r="C26" s="25" t="n">
        <v>3</v>
      </c>
      <c r="D26" s="26" t="n">
        <v>5</v>
      </c>
      <c r="E26" s="26" t="n">
        <v>4</v>
      </c>
      <c r="F26" s="25" t="n">
        <v>3</v>
      </c>
      <c r="G26" s="26" t="n">
        <v>3</v>
      </c>
      <c r="H26" s="27">
        <f>C26*$C$3+D26*$D$3+E26*$E$3+F26*$F$3+G26*$G$3</f>
        <v/>
      </c>
      <c r="I26" s="11" t="inlineStr">
        <is>
          <t>B</t>
        </is>
      </c>
      <c r="J26" s="28">
        <f>SUMPRODUCT(($I$5:$I$46=I26)*($H$5:$H$46&gt;H26))+1</f>
        <v/>
      </c>
    </row>
    <row r="27">
      <c r="A27" s="10" t="n">
        <v>23</v>
      </c>
      <c r="B27" s="12" t="inlineStr">
        <is>
          <t>Iserlohner Kreisanzeiger u. Zeitung (IKZ)</t>
        </is>
      </c>
      <c r="C27" s="25" t="n">
        <v>3</v>
      </c>
      <c r="D27" s="26" t="n">
        <v>3</v>
      </c>
      <c r="E27" s="26" t="n">
        <v>4</v>
      </c>
      <c r="F27" s="25" t="n">
        <v>3</v>
      </c>
      <c r="G27" s="26" t="n">
        <v>4</v>
      </c>
      <c r="H27" s="27">
        <f>C27*$C$3+D27*$D$3+E27*$E$3+F27*$F$3+G27*$G$3</f>
        <v/>
      </c>
      <c r="I27" s="11" t="inlineStr">
        <is>
          <t>C</t>
        </is>
      </c>
      <c r="J27" s="28">
        <f>SUMPRODUCT(($I$5:$I$46=I27)*($H$5:$H$46&gt;H27))+1</f>
        <v/>
      </c>
    </row>
    <row r="28">
      <c r="A28" s="10" t="n">
        <v>24</v>
      </c>
      <c r="B28" s="12" t="inlineStr">
        <is>
          <t>Stadtspiegel Iserlohn/Hemer</t>
        </is>
      </c>
      <c r="C28" s="25" t="n">
        <v>3</v>
      </c>
      <c r="D28" s="26" t="n">
        <v>5</v>
      </c>
      <c r="E28" s="26" t="n">
        <v>5</v>
      </c>
      <c r="F28" s="25" t="n">
        <v>3</v>
      </c>
      <c r="G28" s="26" t="n">
        <v>5</v>
      </c>
      <c r="H28" s="27">
        <f>C28*$C$3+D28*$D$3+E28*$E$3+F28*$F$3+G28*$G$3</f>
        <v/>
      </c>
      <c r="I28" s="11" t="inlineStr">
        <is>
          <t>C</t>
        </is>
      </c>
      <c r="J28" s="28">
        <f>SUMPRODUCT(($I$5:$I$46=I28)*($H$5:$H$46&gt;H28))+1</f>
        <v/>
      </c>
    </row>
    <row r="29">
      <c r="A29" s="10" t="n">
        <v>25</v>
      </c>
      <c r="B29" s="12" t="inlineStr">
        <is>
          <t>Lüdenscheider Nachrichten (LN)</t>
        </is>
      </c>
      <c r="C29" s="25" t="n">
        <v>3</v>
      </c>
      <c r="D29" s="26" t="n">
        <v>3</v>
      </c>
      <c r="E29" s="26" t="n">
        <v>4</v>
      </c>
      <c r="F29" s="25" t="n">
        <v>3</v>
      </c>
      <c r="G29" s="26" t="n">
        <v>4</v>
      </c>
      <c r="H29" s="27">
        <f>C29*$C$3+D29*$D$3+E29*$E$3+F29*$F$3+G29*$G$3</f>
        <v/>
      </c>
      <c r="I29" s="11" t="inlineStr">
        <is>
          <t>C</t>
        </is>
      </c>
      <c r="J29" s="28">
        <f>SUMPRODUCT(($I$5:$I$46=I29)*($H$5:$H$46&gt;H29))+1</f>
        <v/>
      </c>
    </row>
    <row r="30">
      <c r="A30" s="10" t="n">
        <v>26</v>
      </c>
      <c r="B30" s="12" t="inlineStr">
        <is>
          <t>Der Bote (Märkischer Kreis)</t>
        </is>
      </c>
      <c r="C30" s="25" t="n">
        <v>3</v>
      </c>
      <c r="D30" s="26" t="n">
        <v>5</v>
      </c>
      <c r="E30" s="26" t="n">
        <v>5</v>
      </c>
      <c r="F30" s="25" t="n">
        <v>3</v>
      </c>
      <c r="G30" s="26" t="n">
        <v>5</v>
      </c>
      <c r="H30" s="27">
        <f>C30*$C$3+D30*$D$3+E30*$E$3+F30*$F$3+G30*$G$3</f>
        <v/>
      </c>
      <c r="I30" s="11" t="inlineStr">
        <is>
          <t>C</t>
        </is>
      </c>
      <c r="J30" s="28">
        <f>SUMPRODUCT(($I$5:$I$46=I30)*($H$5:$H$46&gt;H30))+1</f>
        <v/>
      </c>
    </row>
    <row r="31">
      <c r="A31" s="10" t="n">
        <v>27</v>
      </c>
      <c r="B31" s="12" t="inlineStr">
        <is>
          <t>Süderländer Volksfreund (Ausg. Werdohl)</t>
        </is>
      </c>
      <c r="C31" s="25" t="n">
        <v>3</v>
      </c>
      <c r="D31" s="26" t="n">
        <v>3</v>
      </c>
      <c r="E31" s="26" t="n">
        <v>5</v>
      </c>
      <c r="F31" s="25" t="n">
        <v>3</v>
      </c>
      <c r="G31" s="26" t="n">
        <v>4</v>
      </c>
      <c r="H31" s="27">
        <f>C31*$C$3+D31*$D$3+E31*$E$3+F31*$F$3+G31*$G$3</f>
        <v/>
      </c>
      <c r="I31" s="11" t="inlineStr">
        <is>
          <t>C</t>
        </is>
      </c>
      <c r="J31" s="28">
        <f>SUMPRODUCT(($I$5:$I$46=I31)*($H$5:$H$46&gt;H31))+1</f>
        <v/>
      </c>
    </row>
    <row r="32">
      <c r="A32" s="10" t="n">
        <v>28</v>
      </c>
      <c r="B32" s="12" t="inlineStr">
        <is>
          <t>Westfalenpost (Kreis Olpe)</t>
        </is>
      </c>
      <c r="C32" s="25" t="n">
        <v>3</v>
      </c>
      <c r="D32" s="26" t="n">
        <v>3</v>
      </c>
      <c r="E32" s="26" t="n">
        <v>4</v>
      </c>
      <c r="F32" s="25" t="n">
        <v>3</v>
      </c>
      <c r="G32" s="26" t="n">
        <v>5</v>
      </c>
      <c r="H32" s="27">
        <f>C32*$C$3+D32*$D$3+E32*$E$3+F32*$F$3+G32*$G$3</f>
        <v/>
      </c>
      <c r="I32" s="11" t="inlineStr">
        <is>
          <t>C</t>
        </is>
      </c>
      <c r="J32" s="28">
        <f>SUMPRODUCT(($I$5:$I$46=I32)*($H$5:$H$46&gt;H32))+1</f>
        <v/>
      </c>
    </row>
    <row r="33">
      <c r="A33" s="10" t="n">
        <v>29</v>
      </c>
      <c r="B33" s="12" t="inlineStr">
        <is>
          <t>SauerlandKurier (Olpe/Attendorn)</t>
        </is>
      </c>
      <c r="C33" s="25" t="n">
        <v>3</v>
      </c>
      <c r="D33" s="26" t="n">
        <v>5</v>
      </c>
      <c r="E33" s="26" t="n">
        <v>4</v>
      </c>
      <c r="F33" s="25" t="n">
        <v>3</v>
      </c>
      <c r="G33" s="26" t="n">
        <v>3</v>
      </c>
      <c r="H33" s="27">
        <f>C33*$C$3+D33*$D$3+E33*$E$3+F33*$F$3+G33*$G$3</f>
        <v/>
      </c>
      <c r="I33" s="11" t="inlineStr">
        <is>
          <t>C</t>
        </is>
      </c>
      <c r="J33" s="28">
        <f>SUMPRODUCT(($I$5:$I$46=I33)*($H$5:$H$46&gt;H33))+1</f>
        <v/>
      </c>
    </row>
    <row r="34">
      <c r="A34" s="10" t="n">
        <v>30</v>
      </c>
      <c r="B34" s="12" t="inlineStr">
        <is>
          <t>WOLL-Magazin (Rund um den Biggesee)</t>
        </is>
      </c>
      <c r="C34" s="25" t="n">
        <v>3</v>
      </c>
      <c r="D34" s="26" t="n">
        <v>2</v>
      </c>
      <c r="E34" s="26" t="n">
        <v>4</v>
      </c>
      <c r="F34" s="25" t="n">
        <v>3</v>
      </c>
      <c r="G34" s="26" t="n">
        <v>3</v>
      </c>
      <c r="H34" s="27">
        <f>C34*$C$3+D34*$D$3+E34*$E$3+F34*$F$3+G34*$G$3</f>
        <v/>
      </c>
      <c r="I34" s="11" t="inlineStr">
        <is>
          <t>C</t>
        </is>
      </c>
      <c r="J34" s="28">
        <f>SUMPRODUCT(($I$5:$I$46=I34)*($H$5:$H$46&gt;H34))+1</f>
        <v/>
      </c>
    </row>
    <row r="35">
      <c r="A35" s="10" t="n">
        <v>31</v>
      </c>
      <c r="B35" s="12" t="inlineStr">
        <is>
          <t>Deister- und Weserzeitung (DEWEZET)</t>
        </is>
      </c>
      <c r="C35" s="25" t="n">
        <v>3</v>
      </c>
      <c r="D35" s="26" t="n">
        <v>3</v>
      </c>
      <c r="E35" s="26" t="n">
        <v>4</v>
      </c>
      <c r="F35" s="25" t="n">
        <v>3</v>
      </c>
      <c r="G35" s="26" t="n">
        <v>4</v>
      </c>
      <c r="H35" s="27">
        <f>C35*$C$3+D35*$D$3+E35*$E$3+F35*$F$3+G35*$G$3</f>
        <v/>
      </c>
      <c r="I35" s="11" t="inlineStr">
        <is>
          <t>D</t>
        </is>
      </c>
      <c r="J35" s="28">
        <f>SUMPRODUCT(($I$5:$I$46=I35)*($H$5:$H$46&gt;H35))+1</f>
        <v/>
      </c>
    </row>
    <row r="36">
      <c r="A36" s="10" t="n">
        <v>32</v>
      </c>
      <c r="B36" s="12" t="inlineStr">
        <is>
          <t>Hallo Sonntag</t>
        </is>
      </c>
      <c r="C36" s="25" t="n">
        <v>3</v>
      </c>
      <c r="D36" s="26" t="n">
        <v>5</v>
      </c>
      <c r="E36" s="26" t="n">
        <v>5</v>
      </c>
      <c r="F36" s="25" t="n">
        <v>3</v>
      </c>
      <c r="G36" s="26" t="n">
        <v>4</v>
      </c>
      <c r="H36" s="27">
        <f>C36*$C$3+D36*$D$3+E36*$E$3+F36*$F$3+G36*$G$3</f>
        <v/>
      </c>
      <c r="I36" s="11" t="inlineStr">
        <is>
          <t>D</t>
        </is>
      </c>
      <c r="J36" s="28">
        <f>SUMPRODUCT(($I$5:$I$46=I36)*($H$5:$H$46&gt;H36))+1</f>
        <v/>
      </c>
    </row>
    <row r="37">
      <c r="A37" s="10" t="n">
        <v>33</v>
      </c>
      <c r="B37" s="12" t="inlineStr">
        <is>
          <t>Neue Woche</t>
        </is>
      </c>
      <c r="C37" s="25" t="n">
        <v>3</v>
      </c>
      <c r="D37" s="26" t="n">
        <v>5</v>
      </c>
      <c r="E37" s="26" t="n">
        <v>4</v>
      </c>
      <c r="F37" s="25" t="n">
        <v>3</v>
      </c>
      <c r="G37" s="26" t="n">
        <v>3</v>
      </c>
      <c r="H37" s="27">
        <f>C37*$C$3+D37*$D$3+E37*$E$3+F37*$F$3+G37*$G$3</f>
        <v/>
      </c>
      <c r="I37" s="11" t="inlineStr">
        <is>
          <t>D</t>
        </is>
      </c>
      <c r="J37" s="28">
        <f>SUMPRODUCT(($I$5:$I$46=I37)*($H$5:$H$46&gt;H37))+1</f>
        <v/>
      </c>
    </row>
    <row r="38">
      <c r="A38" s="10" t="n">
        <v>34</v>
      </c>
      <c r="B38" s="12" t="inlineStr">
        <is>
          <t>Pyrmonter Nachrichten (DEWEZET)</t>
        </is>
      </c>
      <c r="C38" s="25" t="n">
        <v>3</v>
      </c>
      <c r="D38" s="26" t="n">
        <v>3</v>
      </c>
      <c r="E38" s="26" t="n">
        <v>4</v>
      </c>
      <c r="F38" s="25" t="n">
        <v>3</v>
      </c>
      <c r="G38" s="26" t="n">
        <v>4</v>
      </c>
      <c r="H38" s="27">
        <f>C38*$C$3+D38*$D$3+E38*$E$3+F38*$F$3+G38*$G$3</f>
        <v/>
      </c>
      <c r="I38" s="11" t="inlineStr">
        <is>
          <t>D</t>
        </is>
      </c>
      <c r="J38" s="28">
        <f>SUMPRODUCT(($I$5:$I$46=I38)*($H$5:$H$46&gt;H38))+1</f>
        <v/>
      </c>
    </row>
    <row r="39">
      <c r="A39" s="10" t="n">
        <v>35</v>
      </c>
      <c r="B39" s="12" t="inlineStr">
        <is>
          <t>Hallo Pyrmont</t>
        </is>
      </c>
      <c r="C39" s="25" t="n">
        <v>3</v>
      </c>
      <c r="D39" s="26" t="n">
        <v>5</v>
      </c>
      <c r="E39" s="26" t="n">
        <v>5</v>
      </c>
      <c r="F39" s="25" t="n">
        <v>3</v>
      </c>
      <c r="G39" s="26" t="n">
        <v>4</v>
      </c>
      <c r="H39" s="27">
        <f>C39*$C$3+D39*$D$3+E39*$E$3+F39*$F$3+G39*$G$3</f>
        <v/>
      </c>
      <c r="I39" s="11" t="inlineStr">
        <is>
          <t>D</t>
        </is>
      </c>
      <c r="J39" s="28">
        <f>SUMPRODUCT(($I$5:$I$46=I39)*($H$5:$H$46&gt;H39))+1</f>
        <v/>
      </c>
    </row>
    <row r="40">
      <c r="A40" s="10" t="n">
        <v>36</v>
      </c>
      <c r="B40" s="12" t="inlineStr">
        <is>
          <t>Schaumburger Zeitung / SL Landes-Ztg (SZ/LZ)</t>
        </is>
      </c>
      <c r="C40" s="25" t="n">
        <v>3</v>
      </c>
      <c r="D40" s="26" t="n">
        <v>3</v>
      </c>
      <c r="E40" s="26" t="n">
        <v>4</v>
      </c>
      <c r="F40" s="25" t="n">
        <v>3</v>
      </c>
      <c r="G40" s="26" t="n">
        <v>4</v>
      </c>
      <c r="H40" s="27">
        <f>C40*$C$3+D40*$D$3+E40*$E$3+F40*$F$3+G40*$G$3</f>
        <v/>
      </c>
      <c r="I40" s="11" t="inlineStr">
        <is>
          <t>D</t>
        </is>
      </c>
      <c r="J40" s="28">
        <f>SUMPRODUCT(($I$5:$I$46=I40)*($H$5:$H$46&gt;H40))+1</f>
        <v/>
      </c>
    </row>
    <row r="41">
      <c r="A41" s="10" t="n">
        <v>37</v>
      </c>
      <c r="B41" s="12" t="inlineStr">
        <is>
          <t>Schaumburger Wochenblatt</t>
        </is>
      </c>
      <c r="C41" s="25" t="n">
        <v>3</v>
      </c>
      <c r="D41" s="26" t="n">
        <v>5</v>
      </c>
      <c r="E41" s="26" t="n">
        <v>5</v>
      </c>
      <c r="F41" s="25" t="n">
        <v>3</v>
      </c>
      <c r="G41" s="26" t="n">
        <v>4</v>
      </c>
      <c r="H41" s="27">
        <f>C41*$C$3+D41*$D$3+E41*$E$3+F41*$F$3+G41*$G$3</f>
        <v/>
      </c>
      <c r="I41" s="11" t="inlineStr">
        <is>
          <t>D</t>
        </is>
      </c>
      <c r="J41" s="28">
        <f>SUMPRODUCT(($I$5:$I$46=I41)*($H$5:$H$46&gt;H41))+1</f>
        <v/>
      </c>
    </row>
    <row r="42">
      <c r="A42" s="10" t="n">
        <v>38</v>
      </c>
      <c r="B42" s="12" t="inlineStr">
        <is>
          <t>Schaumburger Nachrichten</t>
        </is>
      </c>
      <c r="C42" s="25" t="n">
        <v>3</v>
      </c>
      <c r="D42" s="26" t="n">
        <v>3</v>
      </c>
      <c r="E42" s="26" t="n">
        <v>4</v>
      </c>
      <c r="F42" s="25" t="n">
        <v>3</v>
      </c>
      <c r="G42" s="26" t="n">
        <v>4</v>
      </c>
      <c r="H42" s="27">
        <f>C42*$C$3+D42*$D$3+E42*$E$3+F42*$F$3+G42*$G$3</f>
        <v/>
      </c>
      <c r="I42" s="11" t="inlineStr">
        <is>
          <t>D</t>
        </is>
      </c>
      <c r="J42" s="28">
        <f>SUMPRODUCT(($I$5:$I$46=I42)*($H$5:$H$46&gt;H42))+1</f>
        <v/>
      </c>
    </row>
    <row r="43">
      <c r="A43" s="10" t="n">
        <v>39</v>
      </c>
      <c r="B43" s="12" t="inlineStr">
        <is>
          <t>Neue Westfälische (Bad Oeynhausen)</t>
        </is>
      </c>
      <c r="C43" s="25" t="n">
        <v>3</v>
      </c>
      <c r="D43" s="26" t="n">
        <v>3</v>
      </c>
      <c r="E43" s="26" t="n">
        <v>4</v>
      </c>
      <c r="F43" s="25" t="n">
        <v>3</v>
      </c>
      <c r="G43" s="26" t="n">
        <v>4</v>
      </c>
      <c r="H43" s="27">
        <f>C43*$C$3+D43*$D$3+E43*$E$3+F43*$F$3+G43*$G$3</f>
        <v/>
      </c>
      <c r="I43" s="11" t="inlineStr">
        <is>
          <t>D</t>
        </is>
      </c>
      <c r="J43" s="28">
        <f>SUMPRODUCT(($I$5:$I$46=I43)*($H$5:$H$46&gt;H43))+1</f>
        <v/>
      </c>
    </row>
    <row r="44">
      <c r="A44" s="10" t="n">
        <v>40</v>
      </c>
      <c r="B44" s="12" t="inlineStr">
        <is>
          <t>Westfalen-Blatt (Bad Oeynhausen)</t>
        </is>
      </c>
      <c r="C44" s="25" t="n">
        <v>3</v>
      </c>
      <c r="D44" s="26" t="n">
        <v>3</v>
      </c>
      <c r="E44" s="26" t="n">
        <v>4</v>
      </c>
      <c r="F44" s="25" t="n">
        <v>3</v>
      </c>
      <c r="G44" s="26" t="n">
        <v>3</v>
      </c>
      <c r="H44" s="27">
        <f>C44*$C$3+D44*$D$3+E44*$E$3+F44*$F$3+G44*$G$3</f>
        <v/>
      </c>
      <c r="I44" s="11" t="inlineStr">
        <is>
          <t>D</t>
        </is>
      </c>
      <c r="J44" s="28">
        <f>SUMPRODUCT(($I$5:$I$46=I44)*($H$5:$H$46&gt;H44))+1</f>
        <v/>
      </c>
    </row>
    <row r="45">
      <c r="A45" s="10" t="n">
        <v>41</v>
      </c>
      <c r="B45" s="12" t="inlineStr">
        <is>
          <t>Lippische Landes-Zeitung (Barntrup)</t>
        </is>
      </c>
      <c r="C45" s="25" t="n">
        <v>3</v>
      </c>
      <c r="D45" s="26" t="n">
        <v>3</v>
      </c>
      <c r="E45" s="26" t="n">
        <v>5</v>
      </c>
      <c r="F45" s="25" t="n">
        <v>3</v>
      </c>
      <c r="G45" s="26" t="n">
        <v>4</v>
      </c>
      <c r="H45" s="27">
        <f>C45*$C$3+D45*$D$3+E45*$E$3+F45*$F$3+G45*$G$3</f>
        <v/>
      </c>
      <c r="I45" s="11" t="inlineStr">
        <is>
          <t>D</t>
        </is>
      </c>
      <c r="J45" s="28">
        <f>SUMPRODUCT(($I$5:$I$46=I45)*($H$5:$H$46&gt;H45))+1</f>
        <v/>
      </c>
    </row>
    <row r="46">
      <c r="A46" s="10" t="n">
        <v>42</v>
      </c>
      <c r="B46" s="12" t="inlineStr">
        <is>
          <t>Neue Westfälische (Lippe/Barntrup)</t>
        </is>
      </c>
      <c r="C46" s="25" t="n">
        <v>3</v>
      </c>
      <c r="D46" s="26" t="n">
        <v>3</v>
      </c>
      <c r="E46" s="26" t="n">
        <v>4</v>
      </c>
      <c r="F46" s="25" t="n">
        <v>3</v>
      </c>
      <c r="G46" s="26" t="n">
        <v>4</v>
      </c>
      <c r="H46" s="27">
        <f>C46*$C$3+D46*$D$3+E46*$E$3+F46*$F$3+G46*$G$3</f>
        <v/>
      </c>
      <c r="I46" s="11" t="inlineStr">
        <is>
          <t>D</t>
        </is>
      </c>
      <c r="J46" s="28">
        <f>SUMPRODUCT(($I$5:$I$46=I46)*($H$5:$H$46&gt;H46))+1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20" customWidth="1" min="3" max="3"/>
    <col width="34" customWidth="1" min="4" max="4"/>
    <col width="11" customWidth="1" min="5" max="5"/>
    <col width="22" customWidth="1" min="6" max="6"/>
    <col width="11" customWidth="1" min="7" max="7"/>
    <col width="11" customWidth="1" min="8" max="8"/>
    <col width="12" customWidth="1" min="9" max="9"/>
    <col width="24" customWidth="1" min="10" max="10"/>
  </cols>
  <sheetData>
    <row r="1">
      <c r="A1" s="8" t="inlineStr">
        <is>
          <t>BUDGET – Wellenmodell Aug–Dez 2026 · Cap 3.500 €/Monat (Ampel automatisch)</t>
        </is>
      </c>
    </row>
    <row r="2">
      <c r="A2" s="3" t="inlineStr">
        <is>
          <t>Einzelpreis (gelb) = aus Verlagsangebot eintragen. Kosten &amp; Monatssummen rechnen automatisch.</t>
        </is>
      </c>
    </row>
    <row r="4" ht="30" customHeight="1">
      <c r="A4" s="9" t="inlineStr">
        <is>
          <t>Monat</t>
        </is>
      </c>
      <c r="B4" s="9" t="inlineStr">
        <is>
          <t>Cluster</t>
        </is>
      </c>
      <c r="C4" s="9" t="inlineStr">
        <is>
          <t>Standort</t>
        </is>
      </c>
      <c r="D4" s="9" t="inlineStr">
        <is>
          <t>Titel</t>
        </is>
      </c>
      <c r="E4" s="9" t="inlineStr">
        <is>
          <t>Format</t>
        </is>
      </c>
      <c r="F4" s="9" t="inlineStr">
        <is>
          <t>Motiv</t>
        </is>
      </c>
      <c r="G4" s="9" t="inlineStr">
        <is>
          <t>Anzahl
Schaltungen</t>
        </is>
      </c>
      <c r="H4" s="9" t="inlineStr">
        <is>
          <t>Einzel-
preis (€)</t>
        </is>
      </c>
      <c r="I4" s="9" t="inlineStr">
        <is>
          <t>Kosten (€)</t>
        </is>
      </c>
      <c r="J4" s="9" t="inlineStr">
        <is>
          <t>Notiz</t>
        </is>
      </c>
    </row>
    <row r="5">
      <c r="A5" s="29" t="inlineStr">
        <is>
          <t>August</t>
        </is>
      </c>
      <c r="B5" s="29" t="inlineStr">
        <is>
          <t>(Beispiel)</t>
        </is>
      </c>
      <c r="C5" s="29" t="inlineStr">
        <is>
          <t>Musterstadt</t>
        </is>
      </c>
      <c r="D5" s="30" t="inlineStr">
        <is>
          <t>Musterblatt</t>
        </is>
      </c>
      <c r="E5" s="29" t="inlineStr">
        <is>
          <t>1/4 4c</t>
        </is>
      </c>
      <c r="F5" s="30" t="inlineStr">
        <is>
          <t>1 ambulant</t>
        </is>
      </c>
      <c r="G5" s="31" t="n">
        <v>4</v>
      </c>
      <c r="H5" s="31" t="n">
        <v>650</v>
      </c>
      <c r="I5" s="32">
        <f>G5*H5</f>
        <v/>
      </c>
      <c r="J5" s="30" t="inlineStr">
        <is>
          <t>Beispielzeile – Format/Preis nur Muster</t>
        </is>
      </c>
    </row>
    <row r="6">
      <c r="A6" s="10" t="inlineStr">
        <is>
          <t>August</t>
        </is>
      </c>
      <c r="B6" s="11" t="inlineStr">
        <is>
          <t>B</t>
        </is>
      </c>
      <c r="C6" s="12" t="inlineStr">
        <is>
          <t>Dorsten</t>
        </is>
      </c>
      <c r="D6" s="13" t="inlineStr">
        <is>
          <t>Stadtspiegel Dorsten</t>
        </is>
      </c>
      <c r="E6" s="11" t="inlineStr">
        <is>
          <t>1/4 4c</t>
        </is>
      </c>
      <c r="F6" s="12" t="inlineStr">
        <is>
          <t>3 Tagespflege / 1 ambulant</t>
        </is>
      </c>
      <c r="G6" s="11" t="n">
        <v>4</v>
      </c>
      <c r="H6" s="33" t="n"/>
      <c r="I6" s="34">
        <f>G6*H6</f>
        <v/>
      </c>
      <c r="J6" s="35" t="inlineStr"/>
    </row>
    <row r="7">
      <c r="A7" s="10" t="inlineStr">
        <is>
          <t>August</t>
        </is>
      </c>
      <c r="B7" s="11" t="inlineStr">
        <is>
          <t>B</t>
        </is>
      </c>
      <c r="C7" s="12" t="inlineStr">
        <is>
          <t>Dorsten</t>
        </is>
      </c>
      <c r="D7" s="13" t="inlineStr">
        <is>
          <t>Dorstener Zeitung (Trauerumfeld)</t>
        </is>
      </c>
      <c r="E7" s="11" t="inlineStr">
        <is>
          <t>1/8 s/w</t>
        </is>
      </c>
      <c r="F7" s="12" t="inlineStr">
        <is>
          <t>1 ambulant</t>
        </is>
      </c>
      <c r="G7" s="11" t="n">
        <v>2</v>
      </c>
      <c r="H7" s="33" t="n"/>
      <c r="I7" s="34">
        <f>G7*H7</f>
        <v/>
      </c>
      <c r="J7" s="35" t="inlineStr"/>
    </row>
    <row r="8">
      <c r="A8" s="10" t="inlineStr">
        <is>
          <t>August</t>
        </is>
      </c>
      <c r="B8" s="11" t="inlineStr">
        <is>
          <t>A</t>
        </is>
      </c>
      <c r="C8" s="12" t="inlineStr">
        <is>
          <t>Duisburg</t>
        </is>
      </c>
      <c r="D8" s="13" t="inlineStr">
        <is>
          <t>Wochen-Anzeiger Duisburg</t>
        </is>
      </c>
      <c r="E8" s="11" t="inlineStr">
        <is>
          <t>1/4 4c</t>
        </is>
      </c>
      <c r="F8" s="12" t="inlineStr">
        <is>
          <t>3 Tagespflege</t>
        </is>
      </c>
      <c r="G8" s="11" t="n">
        <v>2</v>
      </c>
      <c r="H8" s="33" t="n"/>
      <c r="I8" s="34">
        <f>G8*H8</f>
        <v/>
      </c>
      <c r="J8" s="35" t="inlineStr"/>
    </row>
    <row r="9">
      <c r="A9" s="10" t="inlineStr">
        <is>
          <t>August</t>
        </is>
      </c>
      <c r="B9" s="11" t="inlineStr">
        <is>
          <t>Intensiv</t>
        </is>
      </c>
      <c r="C9" s="12" t="inlineStr">
        <is>
          <t>überregional</t>
        </is>
      </c>
      <c r="D9" s="13" t="inlineStr">
        <is>
          <t>Dorstener Zeitung / regionale TZ</t>
        </is>
      </c>
      <c r="E9" s="11" t="inlineStr">
        <is>
          <t>1/4 4c</t>
        </is>
      </c>
      <c r="F9" s="12" t="inlineStr">
        <is>
          <t>4 Intensiv</t>
        </is>
      </c>
      <c r="G9" s="11" t="n">
        <v>1</v>
      </c>
      <c r="H9" s="33" t="n"/>
      <c r="I9" s="34">
        <f>G9*H9</f>
        <v/>
      </c>
      <c r="J9" s="35" t="inlineStr"/>
    </row>
    <row r="10">
      <c r="A10" s="10" t="inlineStr">
        <is>
          <t>September</t>
        </is>
      </c>
      <c r="B10" s="11" t="inlineStr">
        <is>
          <t>A</t>
        </is>
      </c>
      <c r="C10" s="12" t="inlineStr">
        <is>
          <t>Düsseldorf</t>
        </is>
      </c>
      <c r="D10" s="13" t="inlineStr">
        <is>
          <t>Düsseldorfer Anzeiger</t>
        </is>
      </c>
      <c r="E10" s="11" t="inlineStr">
        <is>
          <t>1/4 4c</t>
        </is>
      </c>
      <c r="F10" s="12" t="inlineStr">
        <is>
          <t>1 ambulant / 2 Alltagshilfe</t>
        </is>
      </c>
      <c r="G10" s="11" t="n">
        <v>4</v>
      </c>
      <c r="H10" s="33" t="n"/>
      <c r="I10" s="34">
        <f>G10*H10</f>
        <v/>
      </c>
      <c r="J10" s="35" t="inlineStr"/>
    </row>
    <row r="11">
      <c r="A11" s="10" t="inlineStr">
        <is>
          <t>September</t>
        </is>
      </c>
      <c r="B11" s="11" t="inlineStr">
        <is>
          <t>A</t>
        </is>
      </c>
      <c r="C11" s="12" t="inlineStr">
        <is>
          <t>Düsseldorf</t>
        </is>
      </c>
      <c r="D11" s="13" t="inlineStr">
        <is>
          <t>Rheinische Post (Trauerumfeld)</t>
        </is>
      </c>
      <c r="E11" s="11" t="inlineStr">
        <is>
          <t>1/8 s/w</t>
        </is>
      </c>
      <c r="F11" s="12" t="inlineStr">
        <is>
          <t>1 ambulant</t>
        </is>
      </c>
      <c r="G11" s="11" t="n">
        <v>2</v>
      </c>
      <c r="H11" s="33" t="n"/>
      <c r="I11" s="34">
        <f>G11*H11</f>
        <v/>
      </c>
      <c r="J11" s="35" t="inlineStr"/>
    </row>
    <row r="12">
      <c r="A12" s="10" t="inlineStr">
        <is>
          <t>September</t>
        </is>
      </c>
      <c r="B12" s="11" t="inlineStr">
        <is>
          <t>A</t>
        </is>
      </c>
      <c r="C12" s="12" t="inlineStr">
        <is>
          <t>Duisburg</t>
        </is>
      </c>
      <c r="D12" s="13" t="inlineStr">
        <is>
          <t>Wochen-Anzeiger Duisburg</t>
        </is>
      </c>
      <c r="E12" s="11" t="inlineStr">
        <is>
          <t>1/4 4c</t>
        </is>
      </c>
      <c r="F12" s="12" t="inlineStr">
        <is>
          <t>3 Tagespflege</t>
        </is>
      </c>
      <c r="G12" s="11" t="n">
        <v>2</v>
      </c>
      <c r="H12" s="33" t="n"/>
      <c r="I12" s="34">
        <f>G12*H12</f>
        <v/>
      </c>
      <c r="J12" s="35" t="inlineStr"/>
    </row>
    <row r="13">
      <c r="A13" s="10" t="inlineStr">
        <is>
          <t>September</t>
        </is>
      </c>
      <c r="B13" s="11" t="inlineStr">
        <is>
          <t>Intensiv</t>
        </is>
      </c>
      <c r="C13" s="12" t="inlineStr">
        <is>
          <t>überregional</t>
        </is>
      </c>
      <c r="D13" s="13" t="inlineStr">
        <is>
          <t>Rheinische Post / WAZ</t>
        </is>
      </c>
      <c r="E13" s="11" t="inlineStr">
        <is>
          <t>1/4 4c</t>
        </is>
      </c>
      <c r="F13" s="12" t="inlineStr">
        <is>
          <t>4 Intensiv</t>
        </is>
      </c>
      <c r="G13" s="11" t="n">
        <v>1</v>
      </c>
      <c r="H13" s="33" t="n"/>
      <c r="I13" s="34">
        <f>G13*H13</f>
        <v/>
      </c>
      <c r="J13" s="35" t="inlineStr"/>
    </row>
    <row r="14">
      <c r="A14" s="10" t="inlineStr">
        <is>
          <t>Oktober</t>
        </is>
      </c>
      <c r="B14" s="11" t="inlineStr">
        <is>
          <t>C</t>
        </is>
      </c>
      <c r="C14" s="12" t="inlineStr">
        <is>
          <t>Iserlohn</t>
        </is>
      </c>
      <c r="D14" s="13" t="inlineStr">
        <is>
          <t>Stadtspiegel Iserlohn/Hemer</t>
        </is>
      </c>
      <c r="E14" s="11" t="inlineStr">
        <is>
          <t>1/4 4c</t>
        </is>
      </c>
      <c r="F14" s="12" t="inlineStr">
        <is>
          <t>1 ambulant / 2 Alltagshilfe</t>
        </is>
      </c>
      <c r="G14" s="11" t="n">
        <v>4</v>
      </c>
      <c r="H14" s="33" t="n"/>
      <c r="I14" s="34">
        <f>G14*H14</f>
        <v/>
      </c>
      <c r="J14" s="35" t="inlineStr"/>
    </row>
    <row r="15">
      <c r="A15" s="10" t="inlineStr">
        <is>
          <t>Oktober</t>
        </is>
      </c>
      <c r="B15" s="11" t="inlineStr">
        <is>
          <t>C</t>
        </is>
      </c>
      <c r="C15" s="12" t="inlineStr">
        <is>
          <t>Lüdenscheid; Neuenrade</t>
        </is>
      </c>
      <c r="D15" s="13" t="inlineStr">
        <is>
          <t>Der Bote (Märkischer Kreis)</t>
        </is>
      </c>
      <c r="E15" s="11" t="inlineStr">
        <is>
          <t>1/4 4c</t>
        </is>
      </c>
      <c r="F15" s="12" t="inlineStr">
        <is>
          <t>1 ambulant / 2 Alltagshilfe</t>
        </is>
      </c>
      <c r="G15" s="11" t="n">
        <v>2</v>
      </c>
      <c r="H15" s="33" t="n"/>
      <c r="I15" s="34">
        <f>G15*H15</f>
        <v/>
      </c>
      <c r="J15" s="35" t="inlineStr"/>
    </row>
    <row r="16">
      <c r="A16" s="10" t="inlineStr">
        <is>
          <t>Oktober</t>
        </is>
      </c>
      <c r="B16" s="11" t="inlineStr">
        <is>
          <t>C</t>
        </is>
      </c>
      <c r="C16" s="12" t="inlineStr">
        <is>
          <t>Attendorn</t>
        </is>
      </c>
      <c r="D16" s="13" t="inlineStr">
        <is>
          <t>SauerlandKurier</t>
        </is>
      </c>
      <c r="E16" s="11" t="inlineStr">
        <is>
          <t>1/4 4c</t>
        </is>
      </c>
      <c r="F16" s="12" t="inlineStr">
        <is>
          <t>1 ambulant</t>
        </is>
      </c>
      <c r="G16" s="11" t="n">
        <v>2</v>
      </c>
      <c r="H16" s="33" t="n"/>
      <c r="I16" s="34">
        <f>G16*H16</f>
        <v/>
      </c>
      <c r="J16" s="35" t="inlineStr"/>
    </row>
    <row r="17">
      <c r="A17" s="10" t="inlineStr">
        <is>
          <t>Oktober</t>
        </is>
      </c>
      <c r="B17" s="11" t="inlineStr">
        <is>
          <t>A</t>
        </is>
      </c>
      <c r="C17" s="12" t="inlineStr">
        <is>
          <t>Duisburg</t>
        </is>
      </c>
      <c r="D17" s="13" t="inlineStr">
        <is>
          <t>Wochen-Anzeiger Duisburg</t>
        </is>
      </c>
      <c r="E17" s="11" t="inlineStr">
        <is>
          <t>1/4 4c</t>
        </is>
      </c>
      <c r="F17" s="12" t="inlineStr">
        <is>
          <t>3 Tagespflege</t>
        </is>
      </c>
      <c r="G17" s="11" t="n">
        <v>2</v>
      </c>
      <c r="H17" s="33" t="n"/>
      <c r="I17" s="34">
        <f>G17*H17</f>
        <v/>
      </c>
      <c r="J17" s="35" t="inlineStr"/>
    </row>
    <row r="18">
      <c r="A18" s="10" t="inlineStr">
        <is>
          <t>November</t>
        </is>
      </c>
      <c r="B18" s="11" t="inlineStr">
        <is>
          <t>D</t>
        </is>
      </c>
      <c r="C18" s="12" t="inlineStr">
        <is>
          <t>Hameln</t>
        </is>
      </c>
      <c r="D18" s="13" t="inlineStr">
        <is>
          <t>Hallo Sonntag</t>
        </is>
      </c>
      <c r="E18" s="11" t="inlineStr">
        <is>
          <t>1/4 4c</t>
        </is>
      </c>
      <c r="F18" s="12" t="inlineStr">
        <is>
          <t>1 ambulant</t>
        </is>
      </c>
      <c r="G18" s="11" t="n">
        <v>4</v>
      </c>
      <c r="H18" s="33" t="n"/>
      <c r="I18" s="34">
        <f>G18*H18</f>
        <v/>
      </c>
      <c r="J18" s="35" t="inlineStr"/>
    </row>
    <row r="19">
      <c r="A19" s="10" t="inlineStr">
        <is>
          <t>November</t>
        </is>
      </c>
      <c r="B19" s="11" t="inlineStr">
        <is>
          <t>D</t>
        </is>
      </c>
      <c r="C19" s="12" t="inlineStr">
        <is>
          <t>Hameln</t>
        </is>
      </c>
      <c r="D19" s="13" t="inlineStr">
        <is>
          <t>DEWEZET – Themenwelten Gesundheit</t>
        </is>
      </c>
      <c r="E19" s="11" t="inlineStr">
        <is>
          <t>Advertorial</t>
        </is>
      </c>
      <c r="F19" s="12" t="inlineStr">
        <is>
          <t>3 Tagespflege / 1 ambulant</t>
        </is>
      </c>
      <c r="G19" s="11" t="n">
        <v>1</v>
      </c>
      <c r="H19" s="33" t="n"/>
      <c r="I19" s="34">
        <f>G19*H19</f>
        <v/>
      </c>
      <c r="J19" s="35" t="inlineStr"/>
    </row>
    <row r="20">
      <c r="A20" s="10" t="inlineStr">
        <is>
          <t>November</t>
        </is>
      </c>
      <c r="B20" s="11" t="inlineStr">
        <is>
          <t>D</t>
        </is>
      </c>
      <c r="C20" s="12" t="inlineStr">
        <is>
          <t>Rinteln; Bad Nenndorf</t>
        </is>
      </c>
      <c r="D20" s="13" t="inlineStr">
        <is>
          <t>Schaumburger Wochenblatt</t>
        </is>
      </c>
      <c r="E20" s="11" t="inlineStr">
        <is>
          <t>1/4 4c</t>
        </is>
      </c>
      <c r="F20" s="12" t="inlineStr">
        <is>
          <t>1 ambulant</t>
        </is>
      </c>
      <c r="G20" s="11" t="n">
        <v>2</v>
      </c>
      <c r="H20" s="33" t="n"/>
      <c r="I20" s="34">
        <f>G20*H20</f>
        <v/>
      </c>
      <c r="J20" s="35" t="inlineStr"/>
    </row>
    <row r="21">
      <c r="A21" s="10" t="inlineStr">
        <is>
          <t>November</t>
        </is>
      </c>
      <c r="B21" s="11" t="inlineStr">
        <is>
          <t>A</t>
        </is>
      </c>
      <c r="C21" s="12" t="inlineStr">
        <is>
          <t>Duisburg</t>
        </is>
      </c>
      <c r="D21" s="13" t="inlineStr">
        <is>
          <t>Wochen-Anzeiger Duisburg</t>
        </is>
      </c>
      <c r="E21" s="11" t="inlineStr">
        <is>
          <t>1/4 4c</t>
        </is>
      </c>
      <c r="F21" s="12" t="inlineStr">
        <is>
          <t>3 Tagespflege</t>
        </is>
      </c>
      <c r="G21" s="11" t="n">
        <v>2</v>
      </c>
      <c r="H21" s="33" t="n"/>
      <c r="I21" s="34">
        <f>G21*H21</f>
        <v/>
      </c>
      <c r="J21" s="35" t="inlineStr"/>
    </row>
    <row r="22">
      <c r="A22" s="10" t="inlineStr">
        <is>
          <t>Dezember</t>
        </is>
      </c>
      <c r="B22" s="11" t="inlineStr">
        <is>
          <t>D</t>
        </is>
      </c>
      <c r="C22" s="12" t="inlineStr">
        <is>
          <t>Bad Pyrmont</t>
        </is>
      </c>
      <c r="D22" s="13" t="inlineStr">
        <is>
          <t>Hallo Pyrmont</t>
        </is>
      </c>
      <c r="E22" s="11" t="inlineStr">
        <is>
          <t>1/4 4c</t>
        </is>
      </c>
      <c r="F22" s="12" t="inlineStr">
        <is>
          <t>1 ambulant</t>
        </is>
      </c>
      <c r="G22" s="11" t="n">
        <v>3</v>
      </c>
      <c r="H22" s="33" t="n"/>
      <c r="I22" s="34">
        <f>G22*H22</f>
        <v/>
      </c>
      <c r="J22" s="35" t="inlineStr"/>
    </row>
    <row r="23">
      <c r="A23" s="10" t="inlineStr">
        <is>
          <t>Dezember</t>
        </is>
      </c>
      <c r="B23" s="11" t="inlineStr">
        <is>
          <t>D</t>
        </is>
      </c>
      <c r="C23" s="12" t="inlineStr">
        <is>
          <t>Bad Oeynhausen</t>
        </is>
      </c>
      <c r="D23" s="13" t="inlineStr">
        <is>
          <t>Neue Westfälische (Tarif 60)</t>
        </is>
      </c>
      <c r="E23" s="11" t="inlineStr">
        <is>
          <t>1/8 s/w</t>
        </is>
      </c>
      <c r="F23" s="12" t="inlineStr">
        <is>
          <t>1 ambulant</t>
        </is>
      </c>
      <c r="G23" s="11" t="n">
        <v>2</v>
      </c>
      <c r="H23" s="33" t="n"/>
      <c r="I23" s="34">
        <f>G23*H23</f>
        <v/>
      </c>
      <c r="J23" s="35" t="inlineStr"/>
    </row>
    <row r="24">
      <c r="A24" s="10" t="inlineStr">
        <is>
          <t>Dezember</t>
        </is>
      </c>
      <c r="B24" s="11" t="inlineStr">
        <is>
          <t>Intensiv</t>
        </is>
      </c>
      <c r="C24" s="12" t="inlineStr">
        <is>
          <t>überregional</t>
        </is>
      </c>
      <c r="D24" s="13" t="inlineStr">
        <is>
          <t>regionale TZ</t>
        </is>
      </c>
      <c r="E24" s="11" t="inlineStr">
        <is>
          <t>1/4 4c</t>
        </is>
      </c>
      <c r="F24" s="12" t="inlineStr">
        <is>
          <t>4 Intensiv</t>
        </is>
      </c>
      <c r="G24" s="11" t="n">
        <v>1</v>
      </c>
      <c r="H24" s="33" t="n"/>
      <c r="I24" s="34">
        <f>G24*H24</f>
        <v/>
      </c>
      <c r="J24" s="35" t="inlineStr"/>
    </row>
    <row r="25">
      <c r="A25" s="10" t="inlineStr">
        <is>
          <t>Dezember</t>
        </is>
      </c>
      <c r="B25" s="11" t="inlineStr">
        <is>
          <t>A</t>
        </is>
      </c>
      <c r="C25" s="12" t="inlineStr">
        <is>
          <t>Duisburg</t>
        </is>
      </c>
      <c r="D25" s="13" t="inlineStr">
        <is>
          <t>Wochen-Anzeiger Duisburg</t>
        </is>
      </c>
      <c r="E25" s="11" t="inlineStr">
        <is>
          <t>1/4 4c</t>
        </is>
      </c>
      <c r="F25" s="12" t="inlineStr">
        <is>
          <t>3 Tagespflege</t>
        </is>
      </c>
      <c r="G25" s="11" t="n">
        <v>2</v>
      </c>
      <c r="H25" s="33" t="n"/>
      <c r="I25" s="34">
        <f>G25*H25</f>
        <v/>
      </c>
      <c r="J25" s="35" t="inlineStr"/>
    </row>
    <row r="27">
      <c r="A27" s="36" t="inlineStr">
        <is>
          <t>MONATSSUMMEN vs. CAP 3.500 €</t>
        </is>
      </c>
    </row>
    <row r="28">
      <c r="A28" s="9" t="inlineStr">
        <is>
          <t>Monat</t>
        </is>
      </c>
      <c r="B28" s="9" t="inlineStr">
        <is>
          <t>Summe Kosten (€)</t>
        </is>
      </c>
      <c r="C28" s="9" t="inlineStr">
        <is>
          <t>Cap (€)</t>
        </is>
      </c>
      <c r="D28" s="9" t="inlineStr">
        <is>
          <t>Rest (€)</t>
        </is>
      </c>
      <c r="E28" s="9" t="inlineStr">
        <is>
          <t>Ampel</t>
        </is>
      </c>
    </row>
    <row r="29">
      <c r="A29" s="37" t="inlineStr">
        <is>
          <t>August</t>
        </is>
      </c>
      <c r="B29" s="34">
        <f>SUMIFS($I$6:$I$25,$A$6:$A$25,A29)</f>
        <v/>
      </c>
      <c r="C29" s="38" t="n">
        <v>3500</v>
      </c>
      <c r="D29" s="39">
        <f>C29-B29</f>
        <v/>
      </c>
      <c r="E29" s="40">
        <f>IF(B29&gt;C29,"● ÜBER","● OK")</f>
        <v/>
      </c>
    </row>
    <row r="30">
      <c r="A30" s="37" t="inlineStr">
        <is>
          <t>September</t>
        </is>
      </c>
      <c r="B30" s="34">
        <f>SUMIFS($I$6:$I$25,$A$6:$A$25,A30)</f>
        <v/>
      </c>
      <c r="C30" s="38" t="n">
        <v>3500</v>
      </c>
      <c r="D30" s="39">
        <f>C30-B30</f>
        <v/>
      </c>
      <c r="E30" s="40">
        <f>IF(B30&gt;C30,"● ÜBER","● OK")</f>
        <v/>
      </c>
    </row>
    <row r="31">
      <c r="A31" s="37" t="inlineStr">
        <is>
          <t>Oktober</t>
        </is>
      </c>
      <c r="B31" s="34">
        <f>SUMIFS($I$6:$I$25,$A$6:$A$25,A31)</f>
        <v/>
      </c>
      <c r="C31" s="38" t="n">
        <v>3500</v>
      </c>
      <c r="D31" s="39">
        <f>C31-B31</f>
        <v/>
      </c>
      <c r="E31" s="40">
        <f>IF(B31&gt;C31,"● ÜBER","● OK")</f>
        <v/>
      </c>
    </row>
    <row r="32">
      <c r="A32" s="37" t="inlineStr">
        <is>
          <t>November</t>
        </is>
      </c>
      <c r="B32" s="34">
        <f>SUMIFS($I$6:$I$25,$A$6:$A$25,A32)</f>
        <v/>
      </c>
      <c r="C32" s="38" t="n">
        <v>3500</v>
      </c>
      <c r="D32" s="39">
        <f>C32-B32</f>
        <v/>
      </c>
      <c r="E32" s="40">
        <f>IF(B32&gt;C32,"● ÜBER","● OK")</f>
        <v/>
      </c>
    </row>
    <row r="33">
      <c r="A33" s="37" t="inlineStr">
        <is>
          <t>Dezember</t>
        </is>
      </c>
      <c r="B33" s="34">
        <f>SUMIFS($I$6:$I$25,$A$6:$A$25,A33)</f>
        <v/>
      </c>
      <c r="C33" s="38" t="n">
        <v>3500</v>
      </c>
      <c r="D33" s="39">
        <f>C33-B33</f>
        <v/>
      </c>
      <c r="E33" s="40">
        <f>IF(B33&gt;C33,"● ÜBER","● OK")</f>
        <v/>
      </c>
    </row>
    <row r="34">
      <c r="A34" s="37" t="inlineStr">
        <is>
          <t>Gesamt Aug–Dez</t>
        </is>
      </c>
      <c r="B34" s="34">
        <f>SUM(B29:B33)</f>
        <v/>
      </c>
      <c r="C34" s="34">
        <f>SUM(C29:C33)</f>
        <v/>
      </c>
    </row>
  </sheetData>
  <conditionalFormatting sqref="E29:E33">
    <cfRule type="expression" priority="1" dxfId="0">
      <formula>B29&gt;C29</formula>
    </cfRule>
    <cfRule type="expression" priority="2" dxfId="1">
      <formula>B29&lt;=C29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20" customWidth="1" min="3" max="3"/>
    <col width="30" customWidth="1" min="4" max="4"/>
    <col width="30" customWidth="1" min="5" max="5"/>
    <col width="13" customWidth="1" min="6" max="6"/>
    <col width="12" customWidth="1" min="7" max="7"/>
    <col width="9" customWidth="1" min="8" max="8"/>
  </cols>
  <sheetData>
    <row r="1">
      <c r="A1" s="8" t="inlineStr">
        <is>
          <t>SCHALTKALENDER 2026 – Erscheinungstermine, Anzeigenschluss (Datum!), Status</t>
        </is>
      </c>
    </row>
    <row r="2">
      <c r="A2" s="3" t="inlineStr">
        <is>
          <t>Anzeigenschluss ≈ 5 Werktage vor Erscheinen (je Titel verifizieren; z. B. Schaumburger Wochenblatt Do 10:00).</t>
        </is>
      </c>
    </row>
    <row r="4" ht="30" customHeight="1">
      <c r="A4" s="9" t="inlineStr">
        <is>
          <t>Erscheinungs-
datum</t>
        </is>
      </c>
      <c r="B4" s="9" t="inlineStr">
        <is>
          <t>KW</t>
        </is>
      </c>
      <c r="C4" s="9" t="inlineStr">
        <is>
          <t>Standort</t>
        </is>
      </c>
      <c r="D4" s="9" t="inlineStr">
        <is>
          <t>Titel</t>
        </is>
      </c>
      <c r="E4" s="9" t="inlineStr">
        <is>
          <t>Motiv/Format</t>
        </is>
      </c>
      <c r="F4" s="9" t="inlineStr">
        <is>
          <t>Anzeigen-
schluss</t>
        </is>
      </c>
      <c r="G4" s="9" t="inlineStr">
        <is>
          <t>Status</t>
        </is>
      </c>
      <c r="H4" s="9" t="inlineStr">
        <is>
          <t>Motiv-Nr.</t>
        </is>
      </c>
    </row>
    <row r="5">
      <c r="A5" s="41" t="n">
        <v>46242</v>
      </c>
      <c r="B5" s="11" t="n">
        <v>32</v>
      </c>
      <c r="C5" s="10" t="inlineStr">
        <is>
          <t>Dorsten</t>
        </is>
      </c>
      <c r="D5" s="13" t="inlineStr">
        <is>
          <t>Stadtspiegel Dorsten</t>
        </is>
      </c>
      <c r="E5" s="12" t="inlineStr">
        <is>
          <t>1/4 4c – Tagespflege</t>
        </is>
      </c>
      <c r="F5" s="42" t="n">
        <v>46237</v>
      </c>
      <c r="G5" s="11" t="inlineStr">
        <is>
          <t>geplant</t>
        </is>
      </c>
      <c r="H5" s="10" t="inlineStr"/>
    </row>
    <row r="6">
      <c r="A6" s="41" t="n">
        <v>46242</v>
      </c>
      <c r="B6" s="11" t="n">
        <v>32</v>
      </c>
      <c r="C6" s="10" t="inlineStr">
        <is>
          <t>Duisburg</t>
        </is>
      </c>
      <c r="D6" s="13" t="inlineStr">
        <is>
          <t>Wochen-Anzeiger Duisburg</t>
        </is>
      </c>
      <c r="E6" s="12" t="inlineStr">
        <is>
          <t>1/4 4c – Tagespflege</t>
        </is>
      </c>
      <c r="F6" s="42" t="n">
        <v>46237</v>
      </c>
      <c r="G6" s="11" t="inlineStr">
        <is>
          <t>geplant</t>
        </is>
      </c>
      <c r="H6" s="10" t="inlineStr"/>
    </row>
    <row r="7">
      <c r="A7" s="41" t="n">
        <v>46248</v>
      </c>
      <c r="B7" s="11" t="n">
        <v>33</v>
      </c>
      <c r="C7" s="10" t="inlineStr">
        <is>
          <t>Dorsten</t>
        </is>
      </c>
      <c r="D7" s="13" t="inlineStr">
        <is>
          <t>Dorstener Zeitung</t>
        </is>
      </c>
      <c r="E7" s="12" t="inlineStr">
        <is>
          <t>1/8 s/w – ambulant (Trauerumfeld)</t>
        </is>
      </c>
      <c r="F7" s="42" t="n">
        <v>46243</v>
      </c>
      <c r="G7" s="11" t="inlineStr">
        <is>
          <t>geplant</t>
        </is>
      </c>
      <c r="H7" s="10" t="inlineStr"/>
    </row>
    <row r="8">
      <c r="A8" s="41" t="n">
        <v>46249</v>
      </c>
      <c r="B8" s="11" t="n">
        <v>33</v>
      </c>
      <c r="C8" s="10" t="inlineStr">
        <is>
          <t>Dorsten</t>
        </is>
      </c>
      <c r="D8" s="13" t="inlineStr">
        <is>
          <t>Stadtspiegel Dorsten</t>
        </is>
      </c>
      <c r="E8" s="12" t="inlineStr">
        <is>
          <t>1/4 4c – ambulant</t>
        </is>
      </c>
      <c r="F8" s="42" t="n">
        <v>46244</v>
      </c>
      <c r="G8" s="11" t="inlineStr">
        <is>
          <t>geplant</t>
        </is>
      </c>
      <c r="H8" s="10" t="inlineStr"/>
    </row>
    <row r="9">
      <c r="A9" s="41" t="n">
        <v>46256</v>
      </c>
      <c r="B9" s="11" t="n">
        <v>34</v>
      </c>
      <c r="C9" s="10" t="inlineStr">
        <is>
          <t>Dorsten</t>
        </is>
      </c>
      <c r="D9" s="13" t="inlineStr">
        <is>
          <t>Stadtspiegel Dorsten</t>
        </is>
      </c>
      <c r="E9" s="12" t="inlineStr">
        <is>
          <t>1/4 4c – Tagespflege</t>
        </is>
      </c>
      <c r="F9" s="42" t="n">
        <v>46251</v>
      </c>
      <c r="G9" s="11" t="inlineStr">
        <is>
          <t>geplant</t>
        </is>
      </c>
      <c r="H9" s="10" t="inlineStr"/>
    </row>
    <row r="10">
      <c r="A10" s="41" t="n">
        <v>46256</v>
      </c>
      <c r="B10" s="11" t="n">
        <v>34</v>
      </c>
      <c r="C10" s="10" t="inlineStr">
        <is>
          <t>Duisburg</t>
        </is>
      </c>
      <c r="D10" s="13" t="inlineStr">
        <is>
          <t>Wochen-Anzeiger Duisburg</t>
        </is>
      </c>
      <c r="E10" s="12" t="inlineStr">
        <is>
          <t>1/4 4c – Tagespflege</t>
        </is>
      </c>
      <c r="F10" s="42" t="n">
        <v>46251</v>
      </c>
      <c r="G10" s="11" t="inlineStr">
        <is>
          <t>geplant</t>
        </is>
      </c>
      <c r="H10" s="10" t="inlineStr"/>
    </row>
    <row r="11">
      <c r="A11" s="41" t="n">
        <v>46262</v>
      </c>
      <c r="B11" s="11" t="n">
        <v>35</v>
      </c>
      <c r="C11" s="10" t="inlineStr">
        <is>
          <t>Dorsten</t>
        </is>
      </c>
      <c r="D11" s="13" t="inlineStr">
        <is>
          <t>Dorstener Zeitung</t>
        </is>
      </c>
      <c r="E11" s="12" t="inlineStr">
        <is>
          <t>1/8 s/w – ambulant (Trauerumfeld)</t>
        </is>
      </c>
      <c r="F11" s="42" t="n">
        <v>46257</v>
      </c>
      <c r="G11" s="11" t="inlineStr">
        <is>
          <t>geplant</t>
        </is>
      </c>
      <c r="H11" s="10" t="inlineStr"/>
    </row>
    <row r="12">
      <c r="A12" s="41" t="n">
        <v>46263</v>
      </c>
      <c r="B12" s="11" t="n">
        <v>35</v>
      </c>
      <c r="C12" s="10" t="inlineStr">
        <is>
          <t>Dorsten</t>
        </is>
      </c>
      <c r="D12" s="13" t="inlineStr">
        <is>
          <t>Stadtspiegel Dorsten</t>
        </is>
      </c>
      <c r="E12" s="12" t="inlineStr">
        <is>
          <t>1/4 4c – Tagespflege</t>
        </is>
      </c>
      <c r="F12" s="42" t="n">
        <v>46258</v>
      </c>
      <c r="G12" s="11" t="inlineStr">
        <is>
          <t>geplant</t>
        </is>
      </c>
      <c r="H12" s="10" t="inlineStr"/>
    </row>
    <row r="13">
      <c r="A13" s="41" t="n">
        <v>46270</v>
      </c>
      <c r="B13" s="11" t="n">
        <v>36</v>
      </c>
      <c r="C13" s="10" t="inlineStr">
        <is>
          <t>Düsseldorf</t>
        </is>
      </c>
      <c r="D13" s="13" t="inlineStr">
        <is>
          <t>Düsseldorfer Anzeiger</t>
        </is>
      </c>
      <c r="E13" s="12" t="inlineStr">
        <is>
          <t>1/4 4c – Alltagshilfe</t>
        </is>
      </c>
      <c r="F13" s="42" t="n">
        <v>46265</v>
      </c>
      <c r="G13" s="11" t="inlineStr">
        <is>
          <t>geplant</t>
        </is>
      </c>
      <c r="H13" s="10" t="inlineStr"/>
    </row>
    <row r="14">
      <c r="A14" s="41" t="n">
        <v>46277</v>
      </c>
      <c r="B14" s="11" t="n">
        <v>37</v>
      </c>
      <c r="C14" s="10" t="inlineStr">
        <is>
          <t>Düsseldorf</t>
        </is>
      </c>
      <c r="D14" s="13" t="inlineStr">
        <is>
          <t>Düsseldorfer Anzeiger</t>
        </is>
      </c>
      <c r="E14" s="12" t="inlineStr">
        <is>
          <t>1/4 4c – ambulant</t>
        </is>
      </c>
      <c r="F14" s="42" t="n">
        <v>46272</v>
      </c>
      <c r="G14" s="11" t="inlineStr">
        <is>
          <t>geplant</t>
        </is>
      </c>
      <c r="H14" s="10" t="inlineStr"/>
    </row>
    <row r="15">
      <c r="A15" s="41" t="n">
        <v>46277</v>
      </c>
      <c r="B15" s="11" t="n">
        <v>37</v>
      </c>
      <c r="C15" s="10" t="inlineStr">
        <is>
          <t>Duisburg</t>
        </is>
      </c>
      <c r="D15" s="13" t="inlineStr">
        <is>
          <t>Wochen-Anzeiger Duisburg</t>
        </is>
      </c>
      <c r="E15" s="12" t="inlineStr">
        <is>
          <t>1/4 4c – Tagespflege</t>
        </is>
      </c>
      <c r="F15" s="42" t="n">
        <v>46272</v>
      </c>
      <c r="G15" s="11" t="inlineStr">
        <is>
          <t>geplant</t>
        </is>
      </c>
      <c r="H15" s="10" t="inlineStr"/>
    </row>
    <row r="16">
      <c r="A16" s="41" t="n">
        <v>46284</v>
      </c>
      <c r="B16" s="11" t="n">
        <v>38</v>
      </c>
      <c r="C16" s="10" t="inlineStr">
        <is>
          <t>Düsseldorf</t>
        </is>
      </c>
      <c r="D16" s="13" t="inlineStr">
        <is>
          <t>Düsseldorfer Anzeiger</t>
        </is>
      </c>
      <c r="E16" s="12" t="inlineStr">
        <is>
          <t>1/4 4c – Alltagshilfe</t>
        </is>
      </c>
      <c r="F16" s="42" t="n">
        <v>46279</v>
      </c>
      <c r="G16" s="11" t="inlineStr">
        <is>
          <t>geplant</t>
        </is>
      </c>
      <c r="H16" s="10" t="inlineStr"/>
    </row>
    <row r="17">
      <c r="A17" s="41" t="n">
        <v>46291</v>
      </c>
      <c r="B17" s="11" t="n">
        <v>39</v>
      </c>
      <c r="C17" s="10" t="inlineStr">
        <is>
          <t>Düsseldorf</t>
        </is>
      </c>
      <c r="D17" s="13" t="inlineStr">
        <is>
          <t>Düsseldorfer Anzeiger</t>
        </is>
      </c>
      <c r="E17" s="12" t="inlineStr">
        <is>
          <t>1/4 4c – ambulant</t>
        </is>
      </c>
      <c r="F17" s="42" t="n">
        <v>46286</v>
      </c>
      <c r="G17" s="11" t="inlineStr">
        <is>
          <t>geplant</t>
        </is>
      </c>
      <c r="H17" s="10" t="inlineStr"/>
    </row>
    <row r="18">
      <c r="A18" s="41" t="n">
        <v>46291</v>
      </c>
      <c r="B18" s="11" t="n">
        <v>39</v>
      </c>
      <c r="C18" s="10" t="inlineStr">
        <is>
          <t>Duisburg</t>
        </is>
      </c>
      <c r="D18" s="13" t="inlineStr">
        <is>
          <t>Wochen-Anzeiger Duisburg</t>
        </is>
      </c>
      <c r="E18" s="12" t="inlineStr">
        <is>
          <t>1/4 4c – Tagespflege</t>
        </is>
      </c>
      <c r="F18" s="42" t="n">
        <v>46286</v>
      </c>
      <c r="G18" s="11" t="inlineStr">
        <is>
          <t>geplant</t>
        </is>
      </c>
      <c r="H18" s="10" t="inlineStr"/>
    </row>
    <row r="19">
      <c r="A19" s="41" t="n">
        <v>46298</v>
      </c>
      <c r="B19" s="11" t="n">
        <v>40</v>
      </c>
      <c r="C19" s="10" t="inlineStr">
        <is>
          <t>Iserlohn</t>
        </is>
      </c>
      <c r="D19" s="13" t="inlineStr">
        <is>
          <t>Stadtspiegel Iserlohn/Hemer</t>
        </is>
      </c>
      <c r="E19" s="12" t="inlineStr">
        <is>
          <t>1/4 4c – Alltagshilfe</t>
        </is>
      </c>
      <c r="F19" s="42" t="n">
        <v>46293</v>
      </c>
      <c r="G19" s="11" t="inlineStr">
        <is>
          <t>geplant</t>
        </is>
      </c>
      <c r="H19" s="10" t="inlineStr"/>
    </row>
    <row r="20">
      <c r="A20" s="41" t="n">
        <v>46305</v>
      </c>
      <c r="B20" s="11" t="n">
        <v>41</v>
      </c>
      <c r="C20" s="10" t="inlineStr">
        <is>
          <t>Iserlohn</t>
        </is>
      </c>
      <c r="D20" s="13" t="inlineStr">
        <is>
          <t>Stadtspiegel Iserlohn/Hemer</t>
        </is>
      </c>
      <c r="E20" s="12" t="inlineStr">
        <is>
          <t>1/4 4c – ambulant</t>
        </is>
      </c>
      <c r="F20" s="42" t="n">
        <v>46300</v>
      </c>
      <c r="G20" s="11" t="inlineStr">
        <is>
          <t>geplant</t>
        </is>
      </c>
      <c r="H20" s="10" t="inlineStr"/>
    </row>
    <row r="21">
      <c r="A21" s="41" t="n">
        <v>46305</v>
      </c>
      <c r="B21" s="11" t="n">
        <v>41</v>
      </c>
      <c r="C21" s="10" t="inlineStr">
        <is>
          <t>Lüdenscheid/Neuenrade</t>
        </is>
      </c>
      <c r="D21" s="13" t="inlineStr">
        <is>
          <t>Der Bote (Märkischer Kreis)</t>
        </is>
      </c>
      <c r="E21" s="12" t="inlineStr">
        <is>
          <t>1/4 4c – ambulant</t>
        </is>
      </c>
      <c r="F21" s="42" t="n">
        <v>46300</v>
      </c>
      <c r="G21" s="11" t="inlineStr">
        <is>
          <t>geplant</t>
        </is>
      </c>
      <c r="H21" s="10" t="inlineStr"/>
    </row>
    <row r="22">
      <c r="A22" s="41" t="n">
        <v>46305</v>
      </c>
      <c r="B22" s="11" t="n">
        <v>41</v>
      </c>
      <c r="C22" s="10" t="inlineStr">
        <is>
          <t>Attendorn</t>
        </is>
      </c>
      <c r="D22" s="13" t="inlineStr">
        <is>
          <t>SauerlandKurier</t>
        </is>
      </c>
      <c r="E22" s="12" t="inlineStr">
        <is>
          <t>1/4 4c – ambulant</t>
        </is>
      </c>
      <c r="F22" s="42" t="n">
        <v>46300</v>
      </c>
      <c r="G22" s="11" t="inlineStr">
        <is>
          <t>geplant</t>
        </is>
      </c>
      <c r="H22" s="10" t="inlineStr"/>
    </row>
    <row r="23">
      <c r="A23" s="41" t="n">
        <v>46312</v>
      </c>
      <c r="B23" s="11" t="n">
        <v>42</v>
      </c>
      <c r="C23" s="10" t="inlineStr">
        <is>
          <t>Iserlohn</t>
        </is>
      </c>
      <c r="D23" s="13" t="inlineStr">
        <is>
          <t>Stadtspiegel Iserlohn/Hemer</t>
        </is>
      </c>
      <c r="E23" s="12" t="inlineStr">
        <is>
          <t>1/4 4c – Alltagshilfe</t>
        </is>
      </c>
      <c r="F23" s="42" t="n">
        <v>46307</v>
      </c>
      <c r="G23" s="11" t="inlineStr">
        <is>
          <t>geplant</t>
        </is>
      </c>
      <c r="H23" s="10" t="inlineStr"/>
    </row>
    <row r="24">
      <c r="A24" s="41" t="n">
        <v>46312</v>
      </c>
      <c r="B24" s="11" t="n">
        <v>42</v>
      </c>
      <c r="C24" s="10" t="inlineStr">
        <is>
          <t>Duisburg</t>
        </is>
      </c>
      <c r="D24" s="13" t="inlineStr">
        <is>
          <t>Wochen-Anzeiger Duisburg</t>
        </is>
      </c>
      <c r="E24" s="12" t="inlineStr">
        <is>
          <t>1/4 4c – Tagespflege</t>
        </is>
      </c>
      <c r="F24" s="42" t="n">
        <v>46307</v>
      </c>
      <c r="G24" s="11" t="inlineStr">
        <is>
          <t>geplant</t>
        </is>
      </c>
      <c r="H24" s="10" t="inlineStr"/>
    </row>
    <row r="25">
      <c r="A25" s="41" t="n">
        <v>46319</v>
      </c>
      <c r="B25" s="11" t="n">
        <v>43</v>
      </c>
      <c r="C25" s="10" t="inlineStr">
        <is>
          <t>Iserlohn</t>
        </is>
      </c>
      <c r="D25" s="13" t="inlineStr">
        <is>
          <t>Stadtspiegel Iserlohn/Hemer</t>
        </is>
      </c>
      <c r="E25" s="12" t="inlineStr">
        <is>
          <t>1/4 4c – ambulant</t>
        </is>
      </c>
      <c r="F25" s="42" t="n">
        <v>46314</v>
      </c>
      <c r="G25" s="11" t="inlineStr">
        <is>
          <t>geplant</t>
        </is>
      </c>
      <c r="H25" s="10" t="inlineStr"/>
    </row>
    <row r="26">
      <c r="A26" s="41" t="n">
        <v>46319</v>
      </c>
      <c r="B26" s="11" t="n">
        <v>43</v>
      </c>
      <c r="C26" s="10" t="inlineStr">
        <is>
          <t>Lüdenscheid/Neuenrade</t>
        </is>
      </c>
      <c r="D26" s="13" t="inlineStr">
        <is>
          <t>Der Bote (Märkischer Kreis)</t>
        </is>
      </c>
      <c r="E26" s="12" t="inlineStr">
        <is>
          <t>1/4 4c – Alltagshilfe</t>
        </is>
      </c>
      <c r="F26" s="42" t="n">
        <v>46314</v>
      </c>
      <c r="G26" s="11" t="inlineStr">
        <is>
          <t>geplant</t>
        </is>
      </c>
      <c r="H26" s="10" t="inlineStr"/>
    </row>
    <row r="27">
      <c r="A27" s="41" t="n">
        <v>46319</v>
      </c>
      <c r="B27" s="11" t="n">
        <v>43</v>
      </c>
      <c r="C27" s="10" t="inlineStr">
        <is>
          <t>Attendorn</t>
        </is>
      </c>
      <c r="D27" s="13" t="inlineStr">
        <is>
          <t>SauerlandKurier</t>
        </is>
      </c>
      <c r="E27" s="12" t="inlineStr">
        <is>
          <t>1/4 4c – ambulant</t>
        </is>
      </c>
      <c r="F27" s="42" t="n">
        <v>46314</v>
      </c>
      <c r="G27" s="11" t="inlineStr">
        <is>
          <t>geplant</t>
        </is>
      </c>
      <c r="H27" s="10" t="inlineStr"/>
    </row>
    <row r="28">
      <c r="A28" s="41" t="n">
        <v>46333</v>
      </c>
      <c r="B28" s="11" t="n">
        <v>45</v>
      </c>
      <c r="C28" s="10" t="inlineStr">
        <is>
          <t>Hameln</t>
        </is>
      </c>
      <c r="D28" s="13" t="inlineStr">
        <is>
          <t>Hallo Sonntag</t>
        </is>
      </c>
      <c r="E28" s="12" t="inlineStr">
        <is>
          <t>1/4 4c – ambulant</t>
        </is>
      </c>
      <c r="F28" s="42" t="n">
        <v>46328</v>
      </c>
      <c r="G28" s="11" t="inlineStr">
        <is>
          <t>geplant</t>
        </is>
      </c>
      <c r="H28" s="10" t="inlineStr"/>
    </row>
    <row r="29">
      <c r="A29" s="41" t="n">
        <v>46338</v>
      </c>
      <c r="B29" s="11" t="n">
        <v>46</v>
      </c>
      <c r="C29" s="10" t="inlineStr">
        <is>
          <t>Hameln</t>
        </is>
      </c>
      <c r="D29" s="13" t="inlineStr">
        <is>
          <t>DEWEZET – Themenwelten Gesundheit</t>
        </is>
      </c>
      <c r="E29" s="12" t="inlineStr">
        <is>
          <t>Advertorial – Tagespflege</t>
        </is>
      </c>
      <c r="F29" s="42" t="n">
        <v>46333</v>
      </c>
      <c r="G29" s="11" t="inlineStr">
        <is>
          <t>geplant</t>
        </is>
      </c>
      <c r="H29" s="10" t="inlineStr"/>
    </row>
    <row r="30">
      <c r="A30" s="41" t="n">
        <v>46340</v>
      </c>
      <c r="B30" s="11" t="n">
        <v>46</v>
      </c>
      <c r="C30" s="10" t="inlineStr">
        <is>
          <t>Hameln</t>
        </is>
      </c>
      <c r="D30" s="13" t="inlineStr">
        <is>
          <t>Hallo Sonntag</t>
        </is>
      </c>
      <c r="E30" s="12" t="inlineStr">
        <is>
          <t>1/4 4c – ambulant</t>
        </is>
      </c>
      <c r="F30" s="42" t="n">
        <v>46335</v>
      </c>
      <c r="G30" s="11" t="inlineStr">
        <is>
          <t>geplant</t>
        </is>
      </c>
      <c r="H30" s="10" t="inlineStr"/>
    </row>
    <row r="31">
      <c r="A31" s="41" t="n">
        <v>46340</v>
      </c>
      <c r="B31" s="11" t="n">
        <v>46</v>
      </c>
      <c r="C31" s="10" t="inlineStr">
        <is>
          <t>Rinteln/Bad Nenndorf</t>
        </is>
      </c>
      <c r="D31" s="13" t="inlineStr">
        <is>
          <t>Schaumburger Wochenblatt</t>
        </is>
      </c>
      <c r="E31" s="12" t="inlineStr">
        <is>
          <t>1/4 4c – ambulant</t>
        </is>
      </c>
      <c r="F31" s="42" t="n">
        <v>46335</v>
      </c>
      <c r="G31" s="11" t="inlineStr">
        <is>
          <t>geplant</t>
        </is>
      </c>
      <c r="H31" s="10" t="inlineStr"/>
    </row>
    <row r="32">
      <c r="A32" s="41" t="n">
        <v>46347</v>
      </c>
      <c r="B32" s="11" t="n">
        <v>47</v>
      </c>
      <c r="C32" s="10" t="inlineStr">
        <is>
          <t>Hameln</t>
        </is>
      </c>
      <c r="D32" s="13" t="inlineStr">
        <is>
          <t>Hallo Sonntag</t>
        </is>
      </c>
      <c r="E32" s="12" t="inlineStr">
        <is>
          <t>1/4 4c – ambulant</t>
        </is>
      </c>
      <c r="F32" s="42" t="n">
        <v>46342</v>
      </c>
      <c r="G32" s="11" t="inlineStr">
        <is>
          <t>geplant</t>
        </is>
      </c>
      <c r="H32" s="10" t="inlineStr"/>
    </row>
    <row r="33">
      <c r="A33" s="41" t="n">
        <v>46347</v>
      </c>
      <c r="B33" s="11" t="n">
        <v>47</v>
      </c>
      <c r="C33" s="10" t="inlineStr">
        <is>
          <t>Duisburg</t>
        </is>
      </c>
      <c r="D33" s="13" t="inlineStr">
        <is>
          <t>Wochen-Anzeiger Duisburg</t>
        </is>
      </c>
      <c r="E33" s="12" t="inlineStr">
        <is>
          <t>1/4 4c – Tagespflege</t>
        </is>
      </c>
      <c r="F33" s="42" t="n">
        <v>46342</v>
      </c>
      <c r="G33" s="11" t="inlineStr">
        <is>
          <t>geplant</t>
        </is>
      </c>
      <c r="H33" s="10" t="inlineStr"/>
    </row>
    <row r="34">
      <c r="A34" s="41" t="n">
        <v>46354</v>
      </c>
      <c r="B34" s="11" t="n">
        <v>48</v>
      </c>
      <c r="C34" s="10" t="inlineStr">
        <is>
          <t>Hameln</t>
        </is>
      </c>
      <c r="D34" s="13" t="inlineStr">
        <is>
          <t>Hallo Sonntag</t>
        </is>
      </c>
      <c r="E34" s="12" t="inlineStr">
        <is>
          <t>1/4 4c – ambulant</t>
        </is>
      </c>
      <c r="F34" s="42" t="n">
        <v>46349</v>
      </c>
      <c r="G34" s="11" t="inlineStr">
        <is>
          <t>geplant</t>
        </is>
      </c>
      <c r="H34" s="10" t="inlineStr"/>
    </row>
    <row r="35">
      <c r="A35" s="41" t="n">
        <v>46354</v>
      </c>
      <c r="B35" s="11" t="n">
        <v>48</v>
      </c>
      <c r="C35" s="10" t="inlineStr">
        <is>
          <t>Rinteln/Bad Nenndorf</t>
        </is>
      </c>
      <c r="D35" s="13" t="inlineStr">
        <is>
          <t>Schaumburger Wochenblatt</t>
        </is>
      </c>
      <c r="E35" s="12" t="inlineStr">
        <is>
          <t>1/4 4c – ambulant</t>
        </is>
      </c>
      <c r="F35" s="42" t="n">
        <v>46349</v>
      </c>
      <c r="G35" s="11" t="inlineStr">
        <is>
          <t>geplant</t>
        </is>
      </c>
      <c r="H35" s="10" t="inlineStr"/>
    </row>
    <row r="36">
      <c r="A36" s="41" t="n">
        <v>46361</v>
      </c>
      <c r="B36" s="11" t="n">
        <v>49</v>
      </c>
      <c r="C36" s="10" t="inlineStr">
        <is>
          <t>Bad Pyrmont</t>
        </is>
      </c>
      <c r="D36" s="13" t="inlineStr">
        <is>
          <t>Hallo Pyrmont</t>
        </is>
      </c>
      <c r="E36" s="12" t="inlineStr">
        <is>
          <t>1/4 4c – ambulant</t>
        </is>
      </c>
      <c r="F36" s="42" t="n">
        <v>46356</v>
      </c>
      <c r="G36" s="11" t="inlineStr">
        <is>
          <t>geplant</t>
        </is>
      </c>
      <c r="H36" s="10" t="inlineStr"/>
    </row>
    <row r="37">
      <c r="A37" s="41" t="n">
        <v>46368</v>
      </c>
      <c r="B37" s="11" t="n">
        <v>50</v>
      </c>
      <c r="C37" s="10" t="inlineStr">
        <is>
          <t>Bad Pyrmont</t>
        </is>
      </c>
      <c r="D37" s="13" t="inlineStr">
        <is>
          <t>Hallo Pyrmont</t>
        </is>
      </c>
      <c r="E37" s="12" t="inlineStr">
        <is>
          <t>1/4 4c – ambulant</t>
        </is>
      </c>
      <c r="F37" s="42" t="n">
        <v>46363</v>
      </c>
      <c r="G37" s="11" t="inlineStr">
        <is>
          <t>geplant</t>
        </is>
      </c>
      <c r="H37" s="10" t="inlineStr"/>
    </row>
    <row r="38">
      <c r="A38" s="41" t="n">
        <v>46368</v>
      </c>
      <c r="B38" s="11" t="n">
        <v>50</v>
      </c>
      <c r="C38" s="10" t="inlineStr">
        <is>
          <t>Bad Oeynhausen</t>
        </is>
      </c>
      <c r="D38" s="13" t="inlineStr">
        <is>
          <t>Neue Westfälische (Tarif 60)</t>
        </is>
      </c>
      <c r="E38" s="12" t="inlineStr">
        <is>
          <t>1/8 s/w – ambulant</t>
        </is>
      </c>
      <c r="F38" s="42" t="n">
        <v>46363</v>
      </c>
      <c r="G38" s="11" t="inlineStr">
        <is>
          <t>geplant</t>
        </is>
      </c>
      <c r="H38" s="10" t="inlineStr"/>
    </row>
    <row r="39">
      <c r="A39" s="41" t="n">
        <v>46375</v>
      </c>
      <c r="B39" s="11" t="n">
        <v>51</v>
      </c>
      <c r="C39" s="10" t="inlineStr">
        <is>
          <t>Bad Pyrmont</t>
        </is>
      </c>
      <c r="D39" s="13" t="inlineStr">
        <is>
          <t>Hallo Pyrmont</t>
        </is>
      </c>
      <c r="E39" s="12" t="inlineStr">
        <is>
          <t>1/4 4c – ambulant</t>
        </is>
      </c>
      <c r="F39" s="42" t="n">
        <v>46370</v>
      </c>
      <c r="G39" s="11" t="inlineStr">
        <is>
          <t>geplant</t>
        </is>
      </c>
      <c r="H39" s="10" t="inlineStr"/>
    </row>
    <row r="40">
      <c r="A40" s="41" t="n">
        <v>46375</v>
      </c>
      <c r="B40" s="11" t="n">
        <v>51</v>
      </c>
      <c r="C40" s="10" t="inlineStr">
        <is>
          <t>Duisburg</t>
        </is>
      </c>
      <c r="D40" s="13" t="inlineStr">
        <is>
          <t>Wochen-Anzeiger Duisburg</t>
        </is>
      </c>
      <c r="E40" s="12" t="inlineStr">
        <is>
          <t>1/4 4c – Tagespflege</t>
        </is>
      </c>
      <c r="F40" s="42" t="n">
        <v>46370</v>
      </c>
      <c r="G40" s="11" t="inlineStr">
        <is>
          <t>geplant</t>
        </is>
      </c>
      <c r="H40" s="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0" customWidth="1" min="3" max="3"/>
    <col width="42" customWidth="1" min="4" max="4"/>
    <col width="12" customWidth="1" min="5" max="5"/>
    <col width="16" customWidth="1" min="6" max="6"/>
    <col width="10" customWidth="1" min="7" max="7"/>
    <col width="24" customWidth="1" min="8" max="8"/>
    <col width="12" customWidth="1" min="9" max="9"/>
  </cols>
  <sheetData>
    <row r="1">
      <c r="A1" s="8" t="inlineStr">
        <is>
          <t>OUTREACH – Verlags-/Mediaberater-Anfragen (Phase 4) · Status &amp; Angebotsverfolgung</t>
        </is>
      </c>
    </row>
    <row r="3" ht="30" customHeight="1">
      <c r="A3" s="9" t="inlineStr">
        <is>
          <t>Verlag/Gruppe</t>
        </is>
      </c>
      <c r="B3" s="9" t="inlineStr">
        <is>
          <t>Kontakt (Name/Mail/Tel)</t>
        </is>
      </c>
      <c r="C3" s="9" t="inlineStr">
        <is>
          <t>Abgedeckte Standorte</t>
        </is>
      </c>
      <c r="D3" s="9" t="inlineStr">
        <is>
          <t>Betreff (Mailentwurf)</t>
        </is>
      </c>
      <c r="E3" s="9" t="inlineStr">
        <is>
          <t>Datum
gesendet</t>
        </is>
      </c>
      <c r="F3" s="9" t="inlineStr">
        <is>
          <t>Status</t>
        </is>
      </c>
      <c r="G3" s="9" t="inlineStr">
        <is>
          <t>Angebot
erhalten</t>
        </is>
      </c>
      <c r="H3" s="9" t="inlineStr">
        <is>
          <t>Preis erhalten (Notiz)</t>
        </is>
      </c>
      <c r="I3" s="9" t="inlineStr">
        <is>
          <t>Nachfass-
datum</t>
        </is>
      </c>
    </row>
    <row r="4">
      <c r="A4" s="13" t="inlineStr">
        <is>
          <t>FUNKE MediaSales NRW</t>
        </is>
      </c>
      <c r="B4" s="20" t="inlineStr">
        <is>
          <t>salesoffice@funkemedien.de · 0201/804-6999 · Britta Sippel</t>
        </is>
      </c>
      <c r="C4" s="43" t="inlineStr">
        <is>
          <t>Bündel: Duisburg, Velbert, Gevelsberg, Attendorn (+Iserlohn)</t>
        </is>
      </c>
      <c r="D4" s="43" t="inlineStr">
        <is>
          <t>Anfrage Jahresvolumen Pflegeunion – FUNKE-Titel NRW (5 Standorte)</t>
        </is>
      </c>
      <c r="E4" s="44" t="n"/>
      <c r="F4" s="45" t="inlineStr">
        <is>
          <t>Entwurf angelegt</t>
        </is>
      </c>
      <c r="G4" s="46" t="inlineStr">
        <is>
          <t>Nein</t>
        </is>
      </c>
      <c r="H4" s="47" t="inlineStr"/>
      <c r="I4" s="44" t="n"/>
    </row>
    <row r="5">
      <c r="A5" s="13" t="inlineStr">
        <is>
          <t>Märkischer Zeitungsverlag / MG Westf. Anzeiger</t>
        </is>
      </c>
      <c r="B5" s="20" t="inlineStr">
        <is>
          <t>02351 158-0 · ln@mzv.net · Der Bote 0800 8000-105</t>
        </is>
      </c>
      <c r="C5" s="43" t="inlineStr">
        <is>
          <t>Bündel: Lüdenscheid, Neuenrade (+Märkischer Kreis)</t>
        </is>
      </c>
      <c r="D5" s="43" t="inlineStr">
        <is>
          <t>Anfrage Jahresvolumen Pflegeunion – LN / Süderländer Volksfreund / Der Bote</t>
        </is>
      </c>
      <c r="E5" s="44" t="n"/>
      <c r="F5" s="45" t="inlineStr">
        <is>
          <t>Entwurf angelegt</t>
        </is>
      </c>
      <c r="G5" s="46" t="inlineStr">
        <is>
          <t>Nein</t>
        </is>
      </c>
      <c r="H5" s="47" t="inlineStr"/>
      <c r="I5" s="44" t="n"/>
    </row>
    <row r="6">
      <c r="A6" s="13" t="inlineStr">
        <is>
          <t>Medienhaus Lensing / media group westfalen</t>
        </is>
      </c>
      <c r="B6" s="20" t="inlineStr">
        <is>
          <t>niels.beck@ora-anzeigenblaetter.de · 02362 9193-14</t>
        </is>
      </c>
      <c r="C6" s="43" t="inlineStr">
        <is>
          <t>Dorsten (Dorstener Zeitung + Stadtspiegel)</t>
        </is>
      </c>
      <c r="D6" s="43" t="inlineStr">
        <is>
          <t>Anfrage Volumen Pflegeunion – Dorstener Zeitung &amp; Stadtspiegel Dorsten</t>
        </is>
      </c>
      <c r="E6" s="44" t="n"/>
      <c r="F6" s="45" t="inlineStr">
        <is>
          <t>Entwurf angelegt</t>
        </is>
      </c>
      <c r="G6" s="46" t="inlineStr">
        <is>
          <t>Nein</t>
        </is>
      </c>
      <c r="H6" s="47" t="inlineStr"/>
      <c r="I6" s="44" t="n"/>
    </row>
    <row r="7">
      <c r="A7" s="13" t="inlineStr">
        <is>
          <t>RP Mediengruppe / report-medien</t>
        </is>
      </c>
      <c r="B7" s="20" t="inlineStr">
        <is>
          <t>rp-media.de · report-medien.de</t>
        </is>
      </c>
      <c r="C7" s="43" t="inlineStr">
        <is>
          <t>Düsseldorf (RP + Düsseldorfer Anzeiger) + Duisburg-West (Extra-Tipp)</t>
        </is>
      </c>
      <c r="D7" s="43" t="inlineStr">
        <is>
          <t>Anfrage Volumen Pflegeunion – Rheinische Post &amp; Düsseldorfer Anzeiger</t>
        </is>
      </c>
      <c r="E7" s="44" t="n"/>
      <c r="F7" s="45" t="inlineStr">
        <is>
          <t>Entwurf angelegt</t>
        </is>
      </c>
      <c r="G7" s="46" t="inlineStr">
        <is>
          <t>Nein</t>
        </is>
      </c>
      <c r="H7" s="47" t="inlineStr"/>
      <c r="I7" s="44" t="n"/>
    </row>
    <row r="8">
      <c r="A8" s="13" t="inlineStr">
        <is>
          <t>Rheinische Anzeigenblätter / ksta media (DuMont)</t>
        </is>
      </c>
      <c r="B8" s="20" t="inlineStr">
        <is>
          <t>anzeige@werbe-post.de · 02234/957 44 138 · KStA Bergheim 02271/47225220</t>
        </is>
      </c>
      <c r="C8" s="43" t="inlineStr">
        <is>
          <t>Kerpen (Werbepost, Sonntags-Post, KStA, Kölnische Rundschau)</t>
        </is>
      </c>
      <c r="D8" s="43" t="inlineStr">
        <is>
          <t>Anfrage Volumen Pflegeunion – Rhein-Erft (Werbepost, KStA)</t>
        </is>
      </c>
      <c r="E8" s="44" t="n"/>
      <c r="F8" s="45" t="inlineStr">
        <is>
          <t>Entwurf angelegt</t>
        </is>
      </c>
      <c r="G8" s="46" t="inlineStr">
        <is>
          <t>Nein</t>
        </is>
      </c>
      <c r="H8" s="47" t="inlineStr"/>
      <c r="I8" s="44" t="n"/>
    </row>
    <row r="9">
      <c r="A9" s="13" t="inlineStr">
        <is>
          <t>DEWEZET-Gruppe</t>
        </is>
      </c>
      <c r="B9" s="20" t="inlineStr">
        <is>
          <t>dewezet.de/anzeigen/</t>
        </is>
      </c>
      <c r="C9" s="43" t="inlineStr">
        <is>
          <t>Hameln, Hess-Oldendorf, Bad Pyrmont (DEWEZET + Pyrmonter Nachr.)</t>
        </is>
      </c>
      <c r="D9" s="43" t="inlineStr">
        <is>
          <t>Anfrage Volumen Pflegeunion – DEWEZET &amp; Themenwelten Gesundheit</t>
        </is>
      </c>
      <c r="E9" s="44" t="n"/>
      <c r="F9" s="45" t="inlineStr">
        <is>
          <t>Entwurf angelegt</t>
        </is>
      </c>
      <c r="G9" s="46" t="inlineStr">
        <is>
          <t>Nein</t>
        </is>
      </c>
      <c r="H9" s="47" t="inlineStr"/>
      <c r="I9" s="44" t="n"/>
    </row>
    <row r="10">
      <c r="A10" s="13" t="inlineStr">
        <is>
          <t>Weser-Region Werbeverlag (WRW)</t>
        </is>
      </c>
      <c r="B10" s="20" t="inlineStr">
        <is>
          <t>anzeigen@wrw-hameln.de · 05151 5788-0 · Nicole Lödige</t>
        </is>
      </c>
      <c r="C10" s="43" t="inlineStr">
        <is>
          <t>Hameln, Hess-Oldendorf, Bad Pyrmont (Hallo Sonntag/Mittwoch/Pyrmont)</t>
        </is>
      </c>
      <c r="D10" s="43" t="inlineStr">
        <is>
          <t>Anfrage Volumen Pflegeunion – Hallo Sonntag / Hallo Pyrmont</t>
        </is>
      </c>
      <c r="E10" s="44" t="n"/>
      <c r="F10" s="45" t="inlineStr">
        <is>
          <t>Entwurf angelegt</t>
        </is>
      </c>
      <c r="G10" s="46" t="inlineStr">
        <is>
          <t>Nein</t>
        </is>
      </c>
      <c r="H10" s="47" t="inlineStr"/>
      <c r="I10" s="44" t="n"/>
    </row>
    <row r="11">
      <c r="A11" s="13" t="inlineStr">
        <is>
          <t>Oppermann / Schaumburger Wochenblatt</t>
        </is>
      </c>
      <c r="B11" s="20" t="inlineStr">
        <is>
          <t>sw.info@schaumburger-wochenblatt.de · 05723 700-0</t>
        </is>
      </c>
      <c r="C11" s="43" t="inlineStr">
        <is>
          <t>Rinteln, Bad Nenndorf (Lkr Schaumburg)</t>
        </is>
      </c>
      <c r="D11" s="43" t="inlineStr">
        <is>
          <t>Anfrage Volumen Pflegeunion – Schaumburger Wochenblatt</t>
        </is>
      </c>
      <c r="E11" s="44" t="n"/>
      <c r="F11" s="45" t="inlineStr">
        <is>
          <t>Entwurf angelegt</t>
        </is>
      </c>
      <c r="G11" s="46" t="inlineStr">
        <is>
          <t>Nein</t>
        </is>
      </c>
      <c r="H11" s="47" t="inlineStr"/>
      <c r="I11" s="44" t="n"/>
    </row>
    <row r="12">
      <c r="A12" s="13" t="inlineStr">
        <is>
          <t>C. Bösendahl (SZ/LZ) / RND-Madsack</t>
        </is>
      </c>
      <c r="B12" s="20" t="inlineStr">
        <is>
          <t>anzeigen@szlz.de · 05751 4000-0</t>
        </is>
      </c>
      <c r="C12" s="43" t="inlineStr">
        <is>
          <t>Rinteln, Bad Nenndorf (SZ/LZ + Schaumburger Nachrichten)</t>
        </is>
      </c>
      <c r="D12" s="43" t="inlineStr">
        <is>
          <t>Anfrage Volumen Pflegeunion – SZ/LZ &amp; Schaumburger Nachrichten</t>
        </is>
      </c>
      <c r="E12" s="44" t="n"/>
      <c r="F12" s="45" t="inlineStr">
        <is>
          <t>Entwurf angelegt</t>
        </is>
      </c>
      <c r="G12" s="46" t="inlineStr">
        <is>
          <t>Nein</t>
        </is>
      </c>
      <c r="H12" s="47" t="inlineStr"/>
      <c r="I12" s="44" t="n"/>
    </row>
    <row r="13">
      <c r="A13" s="13" t="inlineStr">
        <is>
          <t>Zeitungsgruppe NW + Lippische Landes-Zeitung</t>
        </is>
      </c>
      <c r="B13" s="20" t="inlineStr">
        <is>
          <t>nw.de/anzeigen · lz.de/anzeigen (Tarif 60)</t>
        </is>
      </c>
      <c r="C13" s="43" t="inlineStr">
        <is>
          <t>Bad Oeynhausen + Alverdissen/Barntrup (1 Buchung)</t>
        </is>
      </c>
      <c r="D13" s="43" t="inlineStr">
        <is>
          <t>Anfrage Volumen Pflegeunion – NW &amp; LZ (Tarif 60)</t>
        </is>
      </c>
      <c r="E13" s="44" t="n"/>
      <c r="F13" s="45" t="inlineStr">
        <is>
          <t>Entwurf angelegt</t>
        </is>
      </c>
      <c r="G13" s="46" t="inlineStr">
        <is>
          <t>Nein</t>
        </is>
      </c>
      <c r="H13" s="47" t="inlineStr"/>
      <c r="I13" s="44" t="n"/>
    </row>
    <row r="14">
      <c r="A14" s="13" t="inlineStr">
        <is>
          <t>Westfalen-Blatt / OWL Media Solutions</t>
        </is>
      </c>
      <c r="B14" s="20" t="inlineStr">
        <is>
          <t>anzeigen@owl-mediasolutions.de · 0521 555-333</t>
        </is>
      </c>
      <c r="C14" s="43" t="inlineStr">
        <is>
          <t>Bad Oeynhausen</t>
        </is>
      </c>
      <c r="D14" s="43" t="inlineStr">
        <is>
          <t>Anfrage Volumen Pflegeunion – Westfalen-Blatt Bad Oeynhausen</t>
        </is>
      </c>
      <c r="E14" s="44" t="n"/>
      <c r="F14" s="45" t="inlineStr">
        <is>
          <t>Entwurf angelegt</t>
        </is>
      </c>
      <c r="G14" s="46" t="inlineStr">
        <is>
          <t>Nein</t>
        </is>
      </c>
      <c r="H14" s="47" t="inlineStr"/>
      <c r="I14" s="44" t="n"/>
    </row>
    <row r="15">
      <c r="A15" s="13" t="inlineStr">
        <is>
          <t>Super Tipp Medien GmbH</t>
        </is>
      </c>
      <c r="B15" s="20" t="inlineStr">
        <is>
          <t>anzeigen@supertipp-online.de · 02051/28800</t>
        </is>
      </c>
      <c r="C15" s="43" t="inlineStr">
        <is>
          <t>Velbert</t>
        </is>
      </c>
      <c r="D15" s="43" t="inlineStr">
        <is>
          <t>Anfrage Konditionen Pflegeunion – Super Tipp Velbert</t>
        </is>
      </c>
      <c r="E15" s="44" t="n"/>
      <c r="F15" s="45" t="inlineStr">
        <is>
          <t>Entwurf angelegt</t>
        </is>
      </c>
      <c r="G15" s="46" t="inlineStr">
        <is>
          <t>Nein</t>
        </is>
      </c>
      <c r="H15" s="47" t="inlineStr"/>
      <c r="I15" s="44" t="n"/>
    </row>
    <row r="16">
      <c r="A16" s="13" t="inlineStr">
        <is>
          <t>WochenKurier Ennepe-Ruhr</t>
        </is>
      </c>
      <c r="B16" s="20" t="inlineStr">
        <is>
          <t>enneperuhr@wochenkurier.de · 02332-2652</t>
        </is>
      </c>
      <c r="C16" s="43" t="inlineStr">
        <is>
          <t>Gevelsberg</t>
        </is>
      </c>
      <c r="D16" s="43" t="inlineStr">
        <is>
          <t>Anfrage Konditionen Pflegeunion – WochenKurier Ennepe-Ruhr</t>
        </is>
      </c>
      <c r="E16" s="44" t="n"/>
      <c r="F16" s="45" t="inlineStr">
        <is>
          <t>Entwurf angelegt</t>
        </is>
      </c>
      <c r="G16" s="46" t="inlineStr">
        <is>
          <t>Nein</t>
        </is>
      </c>
      <c r="H16" s="47" t="inlineStr"/>
      <c r="I16" s="44" t="n"/>
    </row>
    <row r="17">
      <c r="A17" s="13" t="inlineStr">
        <is>
          <t>Kurier Verlag Lennestadt (SauerlandKurier)</t>
        </is>
      </c>
      <c r="B17" s="20" t="inlineStr">
        <is>
          <t>info@sauerlandkurier.de · 02761 93990</t>
        </is>
      </c>
      <c r="C17" s="43" t="inlineStr">
        <is>
          <t>Attendorn</t>
        </is>
      </c>
      <c r="D17" s="43" t="inlineStr">
        <is>
          <t>Anfrage Konditionen Pflegeunion – SauerlandKurier Olpe/Attendorn</t>
        </is>
      </c>
      <c r="E17" s="44" t="n"/>
      <c r="F17" s="45" t="inlineStr">
        <is>
          <t>Entwurf angelegt</t>
        </is>
      </c>
      <c r="G17" s="46" t="inlineStr">
        <is>
          <t>Nein</t>
        </is>
      </c>
      <c r="H17" s="47" t="inlineStr"/>
      <c r="I17" s="44" t="n"/>
    </row>
    <row r="18">
      <c r="A18" s="13" t="inlineStr">
        <is>
          <t>FREY PRINT + MEDIA (WOLL-Magazin)</t>
        </is>
      </c>
      <c r="B18" s="20" t="inlineStr">
        <is>
          <t>woll-magazin.de/kontakt-anzeigen-und-advertorials</t>
        </is>
      </c>
      <c r="C18" s="43" t="inlineStr">
        <is>
          <t>Attendorn</t>
        </is>
      </c>
      <c r="D18" s="43" t="inlineStr">
        <is>
          <t>Anfrage Advertorial Pflegeunion – WOLL Rund um den Biggesee</t>
        </is>
      </c>
      <c r="E18" s="44" t="n"/>
      <c r="F18" s="45" t="inlineStr">
        <is>
          <t>Entwurf angelegt</t>
        </is>
      </c>
      <c r="G18" s="46" t="inlineStr">
        <is>
          <t>Nein</t>
        </is>
      </c>
      <c r="H18" s="47" t="inlineStr"/>
      <c r="I18" s="44" t="n"/>
    </row>
    <row r="19">
      <c r="A19" s="13" t="inlineStr">
        <is>
          <t>KONPRESS-Medien eG (BENE)</t>
        </is>
      </c>
      <c r="B19" s="20" t="inlineStr">
        <is>
          <t>bene-magazin.de</t>
        </is>
      </c>
      <c r="C19" s="43" t="inlineStr">
        <is>
          <t>Duisburg (Bistum Essen)</t>
        </is>
      </c>
      <c r="D19" s="43" t="inlineStr">
        <is>
          <t>Anfrage Konditionen Pflegeunion – BENE Magazin</t>
        </is>
      </c>
      <c r="E19" s="44" t="n"/>
      <c r="F19" s="45" t="inlineStr">
        <is>
          <t>Entwurf angelegt</t>
        </is>
      </c>
      <c r="G19" s="46" t="inlineStr">
        <is>
          <t>Nein</t>
        </is>
      </c>
      <c r="H19" s="47" t="inlineStr"/>
      <c r="I19" s="4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8" customWidth="1" min="3" max="3"/>
    <col width="30" customWidth="1" min="4" max="4"/>
    <col width="24" customWidth="1" min="5" max="5"/>
    <col width="9" customWidth="1" min="6" max="6"/>
    <col width="12" customWidth="1" min="7" max="7"/>
    <col width="11" customWidth="1" min="8" max="8"/>
    <col width="11" customWidth="1" min="9" max="9"/>
    <col width="14" customWidth="1" min="10" max="10"/>
    <col width="22" customWidth="1" min="11" max="11"/>
  </cols>
  <sheetData>
    <row r="1">
      <c r="A1" s="8" t="inlineStr">
        <is>
          <t>LEAD-TRACKING – Anfragen je Titel über Kennwort/Rufnummer · CPL (Cost per Lead)</t>
        </is>
      </c>
    </row>
    <row r="2">
      <c r="A2" s="3" t="inlineStr">
        <is>
          <t>Jede Anzeige trägt ein eigenes Kennwort oder eine eigene Rufnummer → Anfragen eindeutig zuordenbar. Wöchentlich pflegen.</t>
        </is>
      </c>
    </row>
    <row r="4" ht="32" customHeight="1">
      <c r="A4" s="9" t="inlineStr">
        <is>
          <t>KW</t>
        </is>
      </c>
      <c r="B4" s="9" t="inlineStr">
        <is>
          <t>Monat</t>
        </is>
      </c>
      <c r="C4" s="9" t="inlineStr">
        <is>
          <t>Standort</t>
        </is>
      </c>
      <c r="D4" s="9" t="inlineStr">
        <is>
          <t>Titel/Medium</t>
        </is>
      </c>
      <c r="E4" s="9" t="inlineStr">
        <is>
          <t>Kennwort/
Rufnummer</t>
        </is>
      </c>
      <c r="F4" s="9" t="inlineStr">
        <is>
          <t>Anfragen</t>
        </is>
      </c>
      <c r="G4" s="9" t="inlineStr">
        <is>
          <t>davon Beratungs-
termine</t>
        </is>
      </c>
      <c r="H4" s="9" t="inlineStr">
        <is>
          <t>davon Ab-
schlüsse</t>
        </is>
      </c>
      <c r="I4" s="9" t="inlineStr">
        <is>
          <t>Kosten (€)</t>
        </is>
      </c>
      <c r="J4" s="9" t="inlineStr">
        <is>
          <t>CPL (€)
=Kosten/Anfrage</t>
        </is>
      </c>
      <c r="K4" s="9" t="inlineStr">
        <is>
          <t>Notiz</t>
        </is>
      </c>
    </row>
    <row r="5">
      <c r="A5" s="31" t="n">
        <v>32</v>
      </c>
      <c r="B5" s="29" t="inlineStr">
        <is>
          <t>August</t>
        </is>
      </c>
      <c r="C5" s="29" t="inlineStr">
        <is>
          <t>Dorsten</t>
        </is>
      </c>
      <c r="D5" s="29" t="inlineStr">
        <is>
          <t>Stadtspiegel Dorsten</t>
        </is>
      </c>
      <c r="E5" s="29" t="inlineStr">
        <is>
          <t>Kennwort PU-DOR / 02362-XXXXXX</t>
        </is>
      </c>
      <c r="F5" s="31" t="n">
        <v>7</v>
      </c>
      <c r="G5" s="31" t="n">
        <v>3</v>
      </c>
      <c r="H5" s="31" t="n">
        <v>1</v>
      </c>
      <c r="I5" s="29" t="n">
        <v>650</v>
      </c>
      <c r="J5" s="48">
        <f>IFERROR(I5/F5,"")</f>
        <v/>
      </c>
      <c r="K5" s="29" t="inlineStr">
        <is>
          <t>Beispielzeile</t>
        </is>
      </c>
    </row>
    <row r="6">
      <c r="A6" s="49" t="n"/>
      <c r="B6" s="47" t="n"/>
      <c r="C6" s="47" t="n"/>
      <c r="D6" s="47" t="n"/>
      <c r="E6" s="47" t="n"/>
      <c r="F6" s="49" t="n"/>
      <c r="G6" s="49" t="n"/>
      <c r="H6" s="49" t="n"/>
      <c r="I6" s="50" t="n"/>
      <c r="J6" s="51">
        <f>IFERROR(I6/F6,"")</f>
        <v/>
      </c>
      <c r="K6" s="52" t="n"/>
    </row>
    <row r="7">
      <c r="A7" s="49" t="n"/>
      <c r="B7" s="47" t="n"/>
      <c r="C7" s="47" t="n"/>
      <c r="D7" s="47" t="n"/>
      <c r="E7" s="47" t="n"/>
      <c r="F7" s="49" t="n"/>
      <c r="G7" s="49" t="n"/>
      <c r="H7" s="49" t="n"/>
      <c r="I7" s="50" t="n"/>
      <c r="J7" s="51">
        <f>IFERROR(I7/F7,"")</f>
        <v/>
      </c>
      <c r="K7" s="52" t="n"/>
    </row>
    <row r="8">
      <c r="A8" s="49" t="n"/>
      <c r="B8" s="47" t="n"/>
      <c r="C8" s="47" t="n"/>
      <c r="D8" s="47" t="n"/>
      <c r="E8" s="47" t="n"/>
      <c r="F8" s="49" t="n"/>
      <c r="G8" s="49" t="n"/>
      <c r="H8" s="49" t="n"/>
      <c r="I8" s="50" t="n"/>
      <c r="J8" s="51">
        <f>IFERROR(I8/F8,"")</f>
        <v/>
      </c>
      <c r="K8" s="52" t="n"/>
    </row>
    <row r="9">
      <c r="A9" s="49" t="n"/>
      <c r="B9" s="47" t="n"/>
      <c r="C9" s="47" t="n"/>
      <c r="D9" s="47" t="n"/>
      <c r="E9" s="47" t="n"/>
      <c r="F9" s="49" t="n"/>
      <c r="G9" s="49" t="n"/>
      <c r="H9" s="49" t="n"/>
      <c r="I9" s="50" t="n"/>
      <c r="J9" s="51">
        <f>IFERROR(I9/F9,"")</f>
        <v/>
      </c>
      <c r="K9" s="52" t="n"/>
    </row>
    <row r="10">
      <c r="A10" s="49" t="n"/>
      <c r="B10" s="47" t="n"/>
      <c r="C10" s="47" t="n"/>
      <c r="D10" s="47" t="n"/>
      <c r="E10" s="47" t="n"/>
      <c r="F10" s="49" t="n"/>
      <c r="G10" s="49" t="n"/>
      <c r="H10" s="49" t="n"/>
      <c r="I10" s="50" t="n"/>
      <c r="J10" s="51">
        <f>IFERROR(I10/F10,"")</f>
        <v/>
      </c>
      <c r="K10" s="52" t="n"/>
    </row>
    <row r="11">
      <c r="A11" s="49" t="n"/>
      <c r="B11" s="47" t="n"/>
      <c r="C11" s="47" t="n"/>
      <c r="D11" s="47" t="n"/>
      <c r="E11" s="47" t="n"/>
      <c r="F11" s="49" t="n"/>
      <c r="G11" s="49" t="n"/>
      <c r="H11" s="49" t="n"/>
      <c r="I11" s="50" t="n"/>
      <c r="J11" s="51">
        <f>IFERROR(I11/F11,"")</f>
        <v/>
      </c>
      <c r="K11" s="52" t="n"/>
    </row>
    <row r="12">
      <c r="A12" s="49" t="n"/>
      <c r="B12" s="47" t="n"/>
      <c r="C12" s="47" t="n"/>
      <c r="D12" s="47" t="n"/>
      <c r="E12" s="47" t="n"/>
      <c r="F12" s="49" t="n"/>
      <c r="G12" s="49" t="n"/>
      <c r="H12" s="49" t="n"/>
      <c r="I12" s="50" t="n"/>
      <c r="J12" s="51">
        <f>IFERROR(I12/F12,"")</f>
        <v/>
      </c>
      <c r="K12" s="52" t="n"/>
    </row>
    <row r="13">
      <c r="A13" s="49" t="n"/>
      <c r="B13" s="47" t="n"/>
      <c r="C13" s="47" t="n"/>
      <c r="D13" s="47" t="n"/>
      <c r="E13" s="47" t="n"/>
      <c r="F13" s="49" t="n"/>
      <c r="G13" s="49" t="n"/>
      <c r="H13" s="49" t="n"/>
      <c r="I13" s="50" t="n"/>
      <c r="J13" s="51">
        <f>IFERROR(I13/F13,"")</f>
        <v/>
      </c>
      <c r="K13" s="52" t="n"/>
    </row>
    <row r="14">
      <c r="A14" s="49" t="n"/>
      <c r="B14" s="47" t="n"/>
      <c r="C14" s="47" t="n"/>
      <c r="D14" s="47" t="n"/>
      <c r="E14" s="47" t="n"/>
      <c r="F14" s="49" t="n"/>
      <c r="G14" s="49" t="n"/>
      <c r="H14" s="49" t="n"/>
      <c r="I14" s="50" t="n"/>
      <c r="J14" s="51">
        <f>IFERROR(I14/F14,"")</f>
        <v/>
      </c>
      <c r="K14" s="52" t="n"/>
    </row>
    <row r="15">
      <c r="A15" s="49" t="n"/>
      <c r="B15" s="47" t="n"/>
      <c r="C15" s="47" t="n"/>
      <c r="D15" s="47" t="n"/>
      <c r="E15" s="47" t="n"/>
      <c r="F15" s="49" t="n"/>
      <c r="G15" s="49" t="n"/>
      <c r="H15" s="49" t="n"/>
      <c r="I15" s="50" t="n"/>
      <c r="J15" s="51">
        <f>IFERROR(I15/F15,"")</f>
        <v/>
      </c>
      <c r="K15" s="52" t="n"/>
    </row>
    <row r="16">
      <c r="A16" s="49" t="n"/>
      <c r="B16" s="47" t="n"/>
      <c r="C16" s="47" t="n"/>
      <c r="D16" s="47" t="n"/>
      <c r="E16" s="47" t="n"/>
      <c r="F16" s="49" t="n"/>
      <c r="G16" s="49" t="n"/>
      <c r="H16" s="49" t="n"/>
      <c r="I16" s="50" t="n"/>
      <c r="J16" s="51">
        <f>IFERROR(I16/F16,"")</f>
        <v/>
      </c>
      <c r="K16" s="52" t="n"/>
    </row>
    <row r="17">
      <c r="A17" s="49" t="n"/>
      <c r="B17" s="47" t="n"/>
      <c r="C17" s="47" t="n"/>
      <c r="D17" s="47" t="n"/>
      <c r="E17" s="47" t="n"/>
      <c r="F17" s="49" t="n"/>
      <c r="G17" s="49" t="n"/>
      <c r="H17" s="49" t="n"/>
      <c r="I17" s="50" t="n"/>
      <c r="J17" s="51">
        <f>IFERROR(I17/F17,"")</f>
        <v/>
      </c>
      <c r="K17" s="52" t="n"/>
    </row>
    <row r="18">
      <c r="A18" s="49" t="n"/>
      <c r="B18" s="47" t="n"/>
      <c r="C18" s="47" t="n"/>
      <c r="D18" s="47" t="n"/>
      <c r="E18" s="47" t="n"/>
      <c r="F18" s="49" t="n"/>
      <c r="G18" s="49" t="n"/>
      <c r="H18" s="49" t="n"/>
      <c r="I18" s="50" t="n"/>
      <c r="J18" s="51">
        <f>IFERROR(I18/F18,"")</f>
        <v/>
      </c>
      <c r="K18" s="52" t="n"/>
    </row>
    <row r="19">
      <c r="A19" s="49" t="n"/>
      <c r="B19" s="47" t="n"/>
      <c r="C19" s="47" t="n"/>
      <c r="D19" s="47" t="n"/>
      <c r="E19" s="47" t="n"/>
      <c r="F19" s="49" t="n"/>
      <c r="G19" s="49" t="n"/>
      <c r="H19" s="49" t="n"/>
      <c r="I19" s="50" t="n"/>
      <c r="J19" s="51">
        <f>IFERROR(I19/F19,"")</f>
        <v/>
      </c>
      <c r="K19" s="52" t="n"/>
    </row>
    <row r="20">
      <c r="A20" s="49" t="n"/>
      <c r="B20" s="47" t="n"/>
      <c r="C20" s="47" t="n"/>
      <c r="D20" s="47" t="n"/>
      <c r="E20" s="47" t="n"/>
      <c r="F20" s="49" t="n"/>
      <c r="G20" s="49" t="n"/>
      <c r="H20" s="49" t="n"/>
      <c r="I20" s="50" t="n"/>
      <c r="J20" s="51">
        <f>IFERROR(I20/F20,"")</f>
        <v/>
      </c>
      <c r="K20" s="52" t="n"/>
    </row>
    <row r="21">
      <c r="A21" s="49" t="n"/>
      <c r="B21" s="47" t="n"/>
      <c r="C21" s="47" t="n"/>
      <c r="D21" s="47" t="n"/>
      <c r="E21" s="47" t="n"/>
      <c r="F21" s="49" t="n"/>
      <c r="G21" s="49" t="n"/>
      <c r="H21" s="49" t="n"/>
      <c r="I21" s="50" t="n"/>
      <c r="J21" s="51">
        <f>IFERROR(I21/F21,"")</f>
        <v/>
      </c>
      <c r="K21" s="52" t="n"/>
    </row>
    <row r="22">
      <c r="A22" s="49" t="n"/>
      <c r="B22" s="47" t="n"/>
      <c r="C22" s="47" t="n"/>
      <c r="D22" s="47" t="n"/>
      <c r="E22" s="47" t="n"/>
      <c r="F22" s="49" t="n"/>
      <c r="G22" s="49" t="n"/>
      <c r="H22" s="49" t="n"/>
      <c r="I22" s="50" t="n"/>
      <c r="J22" s="51">
        <f>IFERROR(I22/F22,"")</f>
        <v/>
      </c>
      <c r="K22" s="52" t="n"/>
    </row>
    <row r="23">
      <c r="A23" s="49" t="n"/>
      <c r="B23" s="47" t="n"/>
      <c r="C23" s="47" t="n"/>
      <c r="D23" s="47" t="n"/>
      <c r="E23" s="47" t="n"/>
      <c r="F23" s="49" t="n"/>
      <c r="G23" s="49" t="n"/>
      <c r="H23" s="49" t="n"/>
      <c r="I23" s="50" t="n"/>
      <c r="J23" s="51">
        <f>IFERROR(I23/F23,"")</f>
        <v/>
      </c>
      <c r="K23" s="52" t="n"/>
    </row>
    <row r="24">
      <c r="A24" s="52" t="n"/>
      <c r="B24" s="52" t="n"/>
      <c r="C24" s="52" t="n"/>
      <c r="D24" s="37" t="inlineStr">
        <is>
          <t>Summe / Ø</t>
        </is>
      </c>
      <c r="E24" s="52" t="n"/>
      <c r="F24" s="40">
        <f>SUM(F6:F23)</f>
        <v/>
      </c>
      <c r="G24" s="40">
        <f>SUM(G6:G23)</f>
        <v/>
      </c>
      <c r="H24" s="40">
        <f>SUM(H6:H23)</f>
        <v/>
      </c>
      <c r="I24" s="34">
        <f>SUM(I6:I23)</f>
        <v/>
      </c>
      <c r="J24" s="53">
        <f>IFERROR(I24/F24,"")</f>
        <v/>
      </c>
      <c r="K24" s="5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11" customWidth="1" min="3" max="3"/>
    <col width="44" customWidth="1" min="4" max="4"/>
    <col width="15" customWidth="1" min="5" max="5"/>
  </cols>
  <sheetData>
    <row r="1">
      <c r="A1" s="8" t="inlineStr">
        <is>
          <t>ANNAHMEN &amp; QUELLEN – jede Zahl mit Datum + Quelle</t>
        </is>
      </c>
    </row>
    <row r="3">
      <c r="A3" s="9" t="inlineStr">
        <is>
          <t>Thema</t>
        </is>
      </c>
      <c r="B3" s="9" t="inlineStr">
        <is>
          <t>Wert/Annahme</t>
        </is>
      </c>
      <c r="C3" s="9" t="inlineStr">
        <is>
          <t>Stand</t>
        </is>
      </c>
      <c r="D3" s="9" t="inlineStr">
        <is>
          <t>Quelle / URL</t>
        </is>
      </c>
      <c r="E3" s="9" t="inlineStr">
        <is>
          <t>Status</t>
        </is>
      </c>
    </row>
    <row r="4">
      <c r="A4" s="37" t="inlineStr">
        <is>
          <t>Budget</t>
        </is>
      </c>
      <c r="B4" s="12" t="inlineStr">
        <is>
          <t>3.500 €/Monat, Aug–Dez 2026 (17.500 € gesamt)</t>
        </is>
      </c>
      <c r="C4" s="11" t="inlineStr">
        <is>
          <t>27.07.2026</t>
        </is>
      </c>
      <c r="D4" s="54" t="inlineStr">
        <is>
          <t>Auftrag Chris Debatin</t>
        </is>
      </c>
      <c r="E4" s="55" t="inlineStr">
        <is>
          <t>fix</t>
        </is>
      </c>
    </row>
    <row r="5">
      <c r="A5" s="37" t="inlineStr">
        <is>
          <t>Standorte</t>
        </is>
      </c>
      <c r="B5" s="12" t="inlineStr">
        <is>
          <t>24 Hubs (Ort × Marke), inkl. verantwortl. MD</t>
        </is>
      </c>
      <c r="C5" s="11" t="inlineStr">
        <is>
          <t>27.07.2026</t>
        </is>
      </c>
      <c r="D5" s="54" t="inlineStr">
        <is>
          <t>Repo supabase/seed.sql</t>
        </is>
      </c>
      <c r="E5" s="55" t="inlineStr">
        <is>
          <t>belegt</t>
        </is>
      </c>
    </row>
    <row r="6">
      <c r="A6" s="37" t="inlineStr">
        <is>
          <t>Lüdenscheid</t>
        </is>
      </c>
      <c r="B6" s="12" t="inlineStr">
        <is>
          <t>In Cluster-Liste, aber KEIN Hub im System</t>
        </is>
      </c>
      <c r="C6" s="11" t="inlineStr">
        <is>
          <t>27.07.2026</t>
        </is>
      </c>
      <c r="D6" s="54" t="inlineStr">
        <is>
          <t>seed.sql (Abgleich)</t>
        </is>
      </c>
      <c r="E6" s="19" t="inlineStr">
        <is>
          <t>zu verifizieren</t>
        </is>
      </c>
    </row>
    <row r="7">
      <c r="A7" s="37" t="inlineStr">
        <is>
          <t>Entlastungsbetrag §45b</t>
        </is>
      </c>
      <c r="B7" s="12" t="inlineStr">
        <is>
          <t>131 €/Monat (Anzeigentext Motiv 2)</t>
        </is>
      </c>
      <c r="C7" s="11" t="inlineStr">
        <is>
          <t>2026</t>
        </is>
      </c>
      <c r="D7" s="54" t="inlineStr">
        <is>
          <t>SGB XI §45b (Satz vor Schaltung bestätigen)</t>
        </is>
      </c>
      <c r="E7" s="19" t="inlineStr">
        <is>
          <t>zu verifizieren</t>
        </is>
      </c>
    </row>
    <row r="8">
      <c r="A8" s="37" t="inlineStr">
        <is>
          <t>Preise (alle Titel)</t>
        </is>
      </c>
      <c r="B8" s="12" t="inlineStr">
        <is>
          <t>Nicht öffentlich; Mediadaten-PDFs 403-gesperrt</t>
        </is>
      </c>
      <c r="C8" s="11" t="inlineStr">
        <is>
          <t>27.07.2026</t>
        </is>
      </c>
      <c r="D8" s="54" t="inlineStr">
        <is>
          <t>Recherche-Umgebung (Egress-Policy)</t>
        </is>
      </c>
      <c r="E8" s="19" t="inlineStr">
        <is>
          <t>anzufragen</t>
        </is>
      </c>
    </row>
    <row r="9">
      <c r="A9" s="37" t="inlineStr">
        <is>
          <t>WAZ+NRZ Duisburg</t>
        </is>
      </c>
      <c r="B9" s="12" t="inlineStr">
        <is>
          <t>verk. 24.844 (IVW Q2/2024)</t>
        </is>
      </c>
      <c r="C9" s="11" t="inlineStr">
        <is>
          <t>2024</t>
        </is>
      </c>
      <c r="D9" s="54" t="inlineStr">
        <is>
          <t>pryntad.com/funke-medien-nrw-duisburg</t>
        </is>
      </c>
      <c r="E9" s="19" t="inlineStr">
        <is>
          <t>zu verifizieren</t>
        </is>
      </c>
    </row>
    <row r="10">
      <c r="A10" s="37" t="inlineStr">
        <is>
          <t>Wochen-Anzeiger Duisburg</t>
        </is>
      </c>
      <c r="B10" s="12" t="inlineStr">
        <is>
          <t>je Ausg. 228.100; bis 215.070 HH</t>
        </is>
      </c>
      <c r="C10" s="11" t="inlineStr">
        <is>
          <t>2026</t>
        </is>
      </c>
      <c r="D10" s="54" t="inlineStr">
        <is>
          <t>lokalkompass.de; jetztwerben.de</t>
        </is>
      </c>
      <c r="E10" s="19" t="inlineStr">
        <is>
          <t>zu verifizieren</t>
        </is>
      </c>
    </row>
    <row r="11">
      <c r="A11" s="37" t="inlineStr">
        <is>
          <t>Düsseldorfer Anzeiger</t>
        </is>
      </c>
      <c r="B11" s="12" t="inlineStr">
        <is>
          <t>bis 250.275 HH</t>
        </is>
      </c>
      <c r="C11" s="11" t="inlineStr">
        <is>
          <t>2025</t>
        </is>
      </c>
      <c r="D11" s="54" t="inlineStr">
        <is>
          <t>de.wikipedia.org/Düsseldorfer_Anzeiger; jetztwerben.de</t>
        </is>
      </c>
      <c r="E11" s="19" t="inlineStr">
        <is>
          <t>zu verifizieren</t>
        </is>
      </c>
    </row>
    <row r="12">
      <c r="A12" s="37" t="inlineStr">
        <is>
          <t>Rheinische Post</t>
        </is>
      </c>
      <c r="B12" s="12" t="inlineStr">
        <is>
          <t>verk. 254.991 gesamt (Q1/2025)</t>
        </is>
      </c>
      <c r="C12" s="11" t="inlineStr">
        <is>
          <t>2025</t>
        </is>
      </c>
      <c r="D12" s="54" t="inlineStr">
        <is>
          <t>statista; crossvertise.com/rheinische-post</t>
        </is>
      </c>
      <c r="E12" s="19" t="inlineStr">
        <is>
          <t>zu verifizieren</t>
        </is>
      </c>
    </row>
    <row r="13">
      <c r="A13" s="37" t="inlineStr">
        <is>
          <t>Dorstener Zeitung</t>
        </is>
      </c>
      <c r="B13" s="12" t="inlineStr">
        <is>
          <t>verk. 33.020 (IVW-Bezug Q2/2024)</t>
        </is>
      </c>
      <c r="C13" s="11" t="inlineStr">
        <is>
          <t>2024</t>
        </is>
      </c>
      <c r="D13" s="54" t="inlineStr">
        <is>
          <t>lensingmedia.de; mgw.de</t>
        </is>
      </c>
      <c r="E13" s="19" t="inlineStr">
        <is>
          <t>zu verifizieren</t>
        </is>
      </c>
    </row>
    <row r="14">
      <c r="A14" s="37" t="inlineStr">
        <is>
          <t>Stadtspiegel Dorsten</t>
        </is>
      </c>
      <c r="B14" s="12" t="inlineStr">
        <is>
          <t>38.300 (Kombi bis 54.150 HH)</t>
        </is>
      </c>
      <c r="C14" s="11" t="inlineStr">
        <is>
          <t>2026</t>
        </is>
      </c>
      <c r="D14" s="54" t="inlineStr">
        <is>
          <t>ora-anzeigenblaetter.de</t>
        </is>
      </c>
      <c r="E14" s="19" t="inlineStr">
        <is>
          <t>zu verifizieren</t>
        </is>
      </c>
    </row>
    <row r="15">
      <c r="A15" s="37" t="inlineStr">
        <is>
          <t>Westfalenpost EN-Süd</t>
        </is>
      </c>
      <c r="B15" s="12" t="inlineStr">
        <is>
          <t>verk. 8.831; Gevelsberg-Anteil ~2.952</t>
        </is>
      </c>
      <c r="C15" s="11" t="inlineStr">
        <is>
          <t>2024</t>
        </is>
      </c>
      <c r="D15" s="54" t="inlineStr">
        <is>
          <t>pryntad; funkemediasalesnrw.de</t>
        </is>
      </c>
      <c r="E15" s="19" t="inlineStr">
        <is>
          <t>zu verifizieren</t>
        </is>
      </c>
    </row>
    <row r="16">
      <c r="A16" s="37" t="inlineStr">
        <is>
          <t>WAP Wochenblatt Gevelsberg</t>
        </is>
      </c>
      <c r="B16" s="12" t="inlineStr">
        <is>
          <t>47.900 Aufl. / 44.570 HH; Mindestpreis Gesamtgeb. 437,60 €</t>
        </is>
      </c>
      <c r="C16" s="11" t="inlineStr">
        <is>
          <t>2026</t>
        </is>
      </c>
      <c r="D16" s="54" t="inlineStr">
        <is>
          <t>jetztwerben.de</t>
        </is>
      </c>
      <c r="E16" s="19" t="inlineStr">
        <is>
          <t>zu verifizieren</t>
        </is>
      </c>
    </row>
    <row r="17">
      <c r="A17" s="37" t="inlineStr">
        <is>
          <t>IKZ Iserlohn</t>
        </is>
      </c>
      <c r="B17" s="12" t="inlineStr">
        <is>
          <t>verk. ~9.853 (Wikipedia/IVW-Bezug)</t>
        </is>
      </c>
      <c r="C17" s="11" t="inlineStr">
        <is>
          <t>o.J.</t>
        </is>
      </c>
      <c r="D17" s="54" t="inlineStr">
        <is>
          <t>de.wikipedia.org/Iserlohner_Kreisanzeiger</t>
        </is>
      </c>
      <c r="E17" s="19" t="inlineStr">
        <is>
          <t>zu verifizieren</t>
        </is>
      </c>
    </row>
    <row r="18">
      <c r="A18" s="37" t="inlineStr">
        <is>
          <t>Stadtspiegel Iserlohn</t>
        </is>
      </c>
      <c r="B18" s="12" t="inlineStr">
        <is>
          <t>~51.200 HH (Iserlohn/Letmathe)</t>
        </is>
      </c>
      <c r="C18" s="11" t="inlineStr">
        <is>
          <t>2025</t>
        </is>
      </c>
      <c r="D18" s="54" t="inlineStr">
        <is>
          <t>wvw-anzeigenblaetter.de</t>
        </is>
      </c>
      <c r="E18" s="19" t="inlineStr">
        <is>
          <t>zu verifizieren</t>
        </is>
      </c>
    </row>
    <row r="19">
      <c r="A19" s="37" t="inlineStr">
        <is>
          <t>Lüdenscheider Nachrichten</t>
        </is>
      </c>
      <c r="B19" s="12" t="inlineStr">
        <is>
          <t>verk. 14.375 (2014), seither IVW-passiv</t>
        </is>
      </c>
      <c r="C19" s="11" t="inlineStr">
        <is>
          <t>2014</t>
        </is>
      </c>
      <c r="D19" s="54" t="inlineStr">
        <is>
          <t>de.wikipedia.org; ivw.de</t>
        </is>
      </c>
      <c r="E19" s="19" t="inlineStr">
        <is>
          <t>zu verifizieren</t>
        </is>
      </c>
    </row>
    <row r="20">
      <c r="A20" s="37" t="inlineStr">
        <is>
          <t>Der Bote (Märk. Kreis)</t>
        </is>
      </c>
      <c r="B20" s="12" t="inlineStr">
        <is>
          <t>~102.000 gesamt</t>
        </is>
      </c>
      <c r="C20" s="11" t="inlineStr">
        <is>
          <t>2025</t>
        </is>
      </c>
      <c r="D20" s="54" t="inlineStr">
        <is>
          <t>wa-anzeigenblaetter.de/der-bote</t>
        </is>
      </c>
      <c r="E20" s="19" t="inlineStr">
        <is>
          <t>zu verifizieren</t>
        </is>
      </c>
    </row>
    <row r="21">
      <c r="A21" s="37" t="inlineStr">
        <is>
          <t>Süderländer Volksfreund</t>
        </is>
      </c>
      <c r="B21" s="12" t="inlineStr">
        <is>
          <t>~3.796 (drehscheibe, IVW-passiv)</t>
        </is>
      </c>
      <c r="C21" s="11" t="inlineStr">
        <is>
          <t>o.J.</t>
        </is>
      </c>
      <c r="D21" s="54" t="inlineStr">
        <is>
          <t>drehscheibe.org</t>
        </is>
      </c>
      <c r="E21" s="19" t="inlineStr">
        <is>
          <t>zu verifizieren</t>
        </is>
      </c>
    </row>
    <row r="22">
      <c r="A22" s="37" t="inlineStr">
        <is>
          <t>SauerlandKurier Olpe/Attendorn</t>
        </is>
      </c>
      <c r="B22" s="12" t="inlineStr">
        <is>
          <t>Teilausg. ~66.160; gesamt ~203.950</t>
        </is>
      </c>
      <c r="C22" s="11" t="inlineStr">
        <is>
          <t>o.J.</t>
        </is>
      </c>
      <c r="D22" s="54" t="inlineStr">
        <is>
          <t>yumpu.com; de.wikipedia.org/Sauerlandkurier</t>
        </is>
      </c>
      <c r="E22" s="19" t="inlineStr">
        <is>
          <t>zu verifizieren</t>
        </is>
      </c>
    </row>
    <row r="23">
      <c r="A23" s="37" t="inlineStr">
        <is>
          <t>WOLL-Magazin</t>
        </is>
      </c>
      <c r="B23" s="12" t="inlineStr">
        <is>
          <t>gesamt 49.000 / ~300.000 Kontakte (6 Ausg.)</t>
        </is>
      </c>
      <c r="C23" s="11" t="inlineStr">
        <is>
          <t>2025</t>
        </is>
      </c>
      <c r="D23" s="54" t="inlineStr">
        <is>
          <t>woll-magazin.de</t>
        </is>
      </c>
      <c r="E23" s="19" t="inlineStr">
        <is>
          <t>zu verifizieren</t>
        </is>
      </c>
    </row>
    <row r="24">
      <c r="A24" s="37" t="inlineStr">
        <is>
          <t>DEWEZET</t>
        </is>
      </c>
      <c r="B24" s="12" t="inlineStr">
        <is>
          <t>Hauptausg. ~11.887; Verbund ~16.635</t>
        </is>
      </c>
      <c r="C24" s="11" t="inlineStr">
        <is>
          <t>o.J.</t>
        </is>
      </c>
      <c r="D24" s="54" t="inlineStr">
        <is>
          <t>de.wikipedia.org/Deister-_und_Weserzeitung</t>
        </is>
      </c>
      <c r="E24" s="19" t="inlineStr">
        <is>
          <t>zu verifizieren</t>
        </is>
      </c>
    </row>
    <row r="25">
      <c r="A25" s="37" t="inlineStr">
        <is>
          <t>DEWEZET Themenwelten</t>
        </is>
      </c>
      <c r="B25" s="12" t="inlineStr">
        <is>
          <t>Vertikale 'Gesundheit/Pflege' (Advertorial-Umfeld)</t>
        </is>
      </c>
      <c r="C25" s="11" t="inlineStr">
        <is>
          <t>2026</t>
        </is>
      </c>
      <c r="D25" s="54" t="inlineStr">
        <is>
          <t>themenwelten.dewezet.de/gesundheit</t>
        </is>
      </c>
      <c r="E25" s="55" t="inlineStr">
        <is>
          <t>belegt</t>
        </is>
      </c>
    </row>
    <row r="26">
      <c r="A26" s="37" t="inlineStr">
        <is>
          <t>Hallo Sonntag</t>
        </is>
      </c>
      <c r="B26" s="12" t="inlineStr">
        <is>
          <t>61.309 (Preisliste Nr.29)</t>
        </is>
      </c>
      <c r="C26" s="11" t="inlineStr">
        <is>
          <t>2020</t>
        </is>
      </c>
      <c r="D26" s="54" t="inlineStr">
        <is>
          <t>hallo-hameln-pyrmont.de</t>
        </is>
      </c>
      <c r="E26" s="19" t="inlineStr">
        <is>
          <t>zu verifizieren</t>
        </is>
      </c>
    </row>
    <row r="27">
      <c r="A27" s="37" t="inlineStr">
        <is>
          <t>Hallo Pyrmont</t>
        </is>
      </c>
      <c r="B27" s="12" t="inlineStr">
        <is>
          <t>17.459 (Preisliste Nr.29)</t>
        </is>
      </c>
      <c r="C27" s="11" t="inlineStr">
        <is>
          <t>2020</t>
        </is>
      </c>
      <c r="D27" s="54" t="inlineStr">
        <is>
          <t>hallo-hameln-pyrmont.de</t>
        </is>
      </c>
      <c r="E27" s="19" t="inlineStr">
        <is>
          <t>zu verifizieren</t>
        </is>
      </c>
    </row>
    <row r="28">
      <c r="A28" s="37" t="inlineStr">
        <is>
          <t>SZ/LZ Rinteln</t>
        </is>
      </c>
      <c r="B28" s="12" t="inlineStr">
        <is>
          <t>Druckaufl. SZ 6.100 + LZ 3.125 (Mediad. 2026)</t>
        </is>
      </c>
      <c r="C28" s="11" t="inlineStr">
        <is>
          <t>2026</t>
        </is>
      </c>
      <c r="D28" s="54" t="inlineStr">
        <is>
          <t>static.rndtech.de/share/szlz/…2026</t>
        </is>
      </c>
      <c r="E28" s="19" t="inlineStr">
        <is>
          <t>zu verifizieren</t>
        </is>
      </c>
    </row>
    <row r="29">
      <c r="A29" s="37" t="inlineStr">
        <is>
          <t>Schaumburger Wochenblatt</t>
        </is>
      </c>
      <c r="B29" s="12" t="inlineStr">
        <is>
          <t>99.040/Woche (alle HH Lkr Schaumburg); Bad Nenndorf-Teil 72.760; Anzeigenschluss Do 10:00</t>
        </is>
      </c>
      <c r="C29" s="11" t="inlineStr">
        <is>
          <t>2026</t>
        </is>
      </c>
      <c r="D29" s="54" t="inlineStr">
        <is>
          <t>schaumburger-wochenblatt.de; oppermann-druck.de</t>
        </is>
      </c>
      <c r="E29" s="19" t="inlineStr">
        <is>
          <t>zu verifizieren</t>
        </is>
      </c>
    </row>
    <row r="30">
      <c r="A30" s="37" t="inlineStr">
        <is>
          <t>Schaumburger Nachrichten</t>
        </is>
      </c>
      <c r="B30" s="12" t="inlineStr">
        <is>
          <t>verk. ~9.364</t>
        </is>
      </c>
      <c r="C30" s="11" t="inlineStr">
        <is>
          <t>2025</t>
        </is>
      </c>
      <c r="D30" s="54" t="inlineStr">
        <is>
          <t>de.wikipedia.org/Schaumburger_Nachrichten</t>
        </is>
      </c>
      <c r="E30" s="19" t="inlineStr">
        <is>
          <t>zu verifizieren</t>
        </is>
      </c>
    </row>
    <row r="31">
      <c r="A31" s="37" t="inlineStr">
        <is>
          <t>Neue Westfälische (Gruppe)</t>
        </is>
      </c>
      <c r="B31" s="12" t="inlineStr">
        <is>
          <t>197.619 (16 Lokalausgaben); Tarif 60 = NW+LZ</t>
        </is>
      </c>
      <c r="C31" s="11" t="inlineStr">
        <is>
          <t>2024</t>
        </is>
      </c>
      <c r="D31" s="54" t="inlineStr">
        <is>
          <t>crossvertise.com/neue-westfaelische; nw.de</t>
        </is>
      </c>
      <c r="E31" s="19" t="inlineStr">
        <is>
          <t>zu verifizieren</t>
        </is>
      </c>
    </row>
    <row r="32">
      <c r="A32" s="37" t="inlineStr">
        <is>
          <t>BENE (Bistum Essen)</t>
        </is>
      </c>
      <c r="B32" s="12" t="inlineStr">
        <is>
          <t>505.000 postal. an kath. Haushalte, 5×/Jahr</t>
        </is>
      </c>
      <c r="C32" s="11" t="inlineStr">
        <is>
          <t>2025</t>
        </is>
      </c>
      <c r="D32" s="54" t="inlineStr">
        <is>
          <t>bene-magazin.de</t>
        </is>
      </c>
      <c r="E32" s="19" t="inlineStr">
        <is>
          <t>zu verifizieren</t>
        </is>
      </c>
    </row>
    <row r="33">
      <c r="A33" s="37" t="inlineStr">
        <is>
          <t>Lippe aktuell</t>
        </is>
      </c>
      <c r="B33" s="12" t="inlineStr">
        <is>
          <t>Ende 2022 EINGESTELLT – nicht einplanen</t>
        </is>
      </c>
      <c r="C33" s="11" t="inlineStr">
        <is>
          <t>2022</t>
        </is>
      </c>
      <c r="D33" s="54" t="inlineStr">
        <is>
          <t>de.wikipedia.org/Lippe_aktuell</t>
        </is>
      </c>
      <c r="E33" s="55" t="inlineStr">
        <is>
          <t>belegt</t>
        </is>
      </c>
    </row>
    <row r="34">
      <c r="A34" s="37" t="inlineStr">
        <is>
          <t>Extra-Tipp Moers/DU-West</t>
        </is>
      </c>
      <c r="B34" s="12" t="inlineStr">
        <is>
          <t>mm s/w 3,14–4,39 € · 4c 3,69–5,16 € (Mediad. 2023, veraltet)</t>
        </is>
      </c>
      <c r="C34" s="11" t="inlineStr">
        <is>
          <t>2023</t>
        </is>
      </c>
      <c r="D34" s="54" t="inlineStr">
        <is>
          <t>report-medien.de; jetztwerben.de</t>
        </is>
      </c>
      <c r="E34" s="19" t="inlineStr">
        <is>
          <t>zu aktualisieren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2026-07-27T18:18:48Z</dcterms:created>
  <dcterms:modified xsi:type="dcterms:W3CDTF">2026-07-27T18:18:48Z</dcterms:modified>
</cp:coreProperties>
</file>